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Inputs" sheetId="2" state="visible" r:id="rId2"/>
    <sheet xmlns:r="http://schemas.openxmlformats.org/officeDocument/2006/relationships" name="Analysis" sheetId="3" state="visible" r:id="rId3"/>
    <sheet xmlns:r="http://schemas.openxmlformats.org/officeDocument/2006/relationships" name="Vouchers" sheetId="4" state="visible" r:id="rId4"/>
    <sheet xmlns:r="http://schemas.openxmlformats.org/officeDocument/2006/relationships" name="Marketing Budget" sheetId="5" state="visible" r:id="rId5"/>
    <sheet xmlns:r="http://schemas.openxmlformats.org/officeDocument/2006/relationships" name="Scenarios" sheetId="6" state="visible" r:id="rId6"/>
    <sheet xmlns:r="http://schemas.openxmlformats.org/officeDocument/2006/relationships" name="Other Expenses" sheetId="7" state="visible" r:id="rId7"/>
  </sheets>
  <definedNames/>
  <calcPr calcId="124519" fullCalcOnLoad="1"/>
</workbook>
</file>

<file path=xl/styles.xml><?xml version="1.0" encoding="utf-8"?>
<styleSheet xmlns="http://schemas.openxmlformats.org/spreadsheetml/2006/main">
  <numFmts count="4">
    <numFmt numFmtId="164" formatCode="_-&quot;₱&quot;* #,##0.00_-"/>
    <numFmt numFmtId="165" formatCode="0.0%"/>
    <numFmt numFmtId="166" formatCode="#,##0.0"/>
    <numFmt numFmtId="167" formatCode="_-&quot;₱&quot;* #,##0_-"/>
  </numFmts>
  <fonts count="17">
    <font>
      <name val="Calibri"/>
      <family val="2"/>
      <color theme="1"/>
      <sz val="11"/>
      <scheme val="minor"/>
    </font>
    <font>
      <b val="1"/>
      <color rgb="001C0A00"/>
      <sz val="16"/>
    </font>
    <font>
      <i val="1"/>
      <color rgb="008B5E0A"/>
      <sz val="10"/>
    </font>
    <font>
      <b val="1"/>
      <color rgb="00C8860A"/>
      <sz val="12"/>
    </font>
    <font>
      <color rgb="001C0A00"/>
    </font>
    <font>
      <b val="1"/>
      <color rgb="001C0A00"/>
    </font>
    <font>
      <b val="1"/>
      <color rgb="00C8860A"/>
    </font>
    <font>
      <b val="1"/>
      <color rgb="001C0A00"/>
      <sz val="14"/>
    </font>
    <font>
      <b val="1"/>
      <color rgb="00FFFFFF"/>
      <sz val="11"/>
    </font>
    <font>
      <b val="1"/>
      <color rgb="0016A34A"/>
    </font>
    <font>
      <color rgb="001C0A00"/>
      <sz val="11"/>
    </font>
    <font>
      <b val="1"/>
      <color rgb="0016A34A"/>
      <sz val="12"/>
    </font>
    <font>
      <b val="1"/>
      <color rgb="001C0A00"/>
      <sz val="12"/>
    </font>
    <font>
      <color rgb="008B5E0A"/>
      <sz val="10"/>
    </font>
    <font>
      <b val="1"/>
      <color rgb="001C0A00"/>
      <sz val="11"/>
    </font>
    <font>
      <b val="1"/>
      <color rgb="00C8860A"/>
      <sz val="11"/>
    </font>
    <font>
      <b val="1"/>
      <color rgb="00FFFFFF"/>
      <sz val="10"/>
    </font>
  </fonts>
  <fills count="7">
    <fill>
      <patternFill/>
    </fill>
    <fill>
      <patternFill patternType="gray125"/>
    </fill>
    <fill>
      <patternFill patternType="solid">
        <fgColor rgb="00FFF7DC"/>
      </patternFill>
    </fill>
    <fill>
      <patternFill patternType="solid">
        <fgColor rgb="00F5E6D3"/>
      </patternFill>
    </fill>
    <fill>
      <patternFill patternType="solid">
        <fgColor rgb="001C0A00"/>
      </patternFill>
    </fill>
    <fill>
      <patternFill patternType="solid">
        <fgColor rgb="00FDF3D8"/>
      </patternFill>
    </fill>
    <fill>
      <patternFill patternType="solid">
        <fgColor rgb="00F5EFE6"/>
      </patternFill>
    </fill>
  </fills>
  <borders count="4">
    <border>
      <left/>
      <right/>
      <top/>
      <bottom/>
      <diagonal/>
    </border>
    <border>
      <left style="thin">
        <color rgb="00E8D9C4"/>
      </left>
      <right style="thin">
        <color rgb="00E8D9C4"/>
      </right>
      <top style="thin">
        <color rgb="00E8D9C4"/>
      </top>
      <bottom style="thin">
        <color rgb="00E8D9C4"/>
      </bottom>
    </border>
    <border/>
    <border>
      <left style="thin">
        <color rgb="00E3D5BE"/>
      </left>
      <right style="thin">
        <color rgb="00E3D5BE"/>
      </right>
      <top style="thin">
        <color rgb="00E3D5BE"/>
      </top>
      <bottom style="thin">
        <color rgb="00E3D5BE"/>
      </bottom>
    </border>
  </borders>
  <cellStyleXfs count="1">
    <xf numFmtId="0" fontId="0" fillId="0" borderId="0"/>
  </cellStyleXfs>
  <cellXfs count="75">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4" fontId="5" fillId="2" borderId="1" applyAlignment="1" pivotButton="0" quotePrefix="0" xfId="0">
      <alignment horizontal="right"/>
    </xf>
    <xf numFmtId="3" fontId="5" fillId="2" borderId="1" applyAlignment="1" pivotButton="0" quotePrefix="0" xfId="0">
      <alignment horizontal="right"/>
    </xf>
    <xf numFmtId="0" fontId="5" fillId="0" borderId="0" pivotButton="0" quotePrefix="0" xfId="0"/>
    <xf numFmtId="164" fontId="6" fillId="0" borderId="0" pivotButton="0" quotePrefix="0" xfId="0"/>
    <xf numFmtId="164" fontId="0" fillId="0" borderId="1" pivotButton="0" quotePrefix="0" xfId="0"/>
    <xf numFmtId="164" fontId="6" fillId="3" borderId="1" pivotButton="0" quotePrefix="0" xfId="0"/>
    <xf numFmtId="0" fontId="7" fillId="0" borderId="0" pivotButton="0" quotePrefix="0" xfId="0"/>
    <xf numFmtId="0" fontId="8" fillId="4" borderId="1" applyAlignment="1" pivotButton="0" quotePrefix="0" xfId="0">
      <alignment horizontal="center" vertical="center" wrapText="1"/>
    </xf>
    <xf numFmtId="164" fontId="5" fillId="2" borderId="1" applyAlignment="1" pivotButton="0" quotePrefix="0" xfId="0">
      <alignment horizontal="right"/>
    </xf>
    <xf numFmtId="164" fontId="9" fillId="0" borderId="1" pivotButton="0" quotePrefix="0" xfId="0"/>
    <xf numFmtId="165" fontId="0" fillId="0" borderId="1" pivotButton="0" quotePrefix="0" xfId="0"/>
    <xf numFmtId="0" fontId="5" fillId="3" borderId="1" pivotButton="0" quotePrefix="0" xfId="0"/>
    <xf numFmtId="3" fontId="0" fillId="3" borderId="1" pivotButton="0" quotePrefix="0" xfId="0"/>
    <xf numFmtId="164" fontId="5" fillId="3" borderId="1" pivotButton="0" quotePrefix="0" xfId="0"/>
    <xf numFmtId="3" fontId="10" fillId="0" borderId="1" pivotButton="0" quotePrefix="0" xfId="0"/>
    <xf numFmtId="166" fontId="10" fillId="0" borderId="1" pivotButton="0" quotePrefix="0" xfId="0"/>
    <xf numFmtId="164" fontId="10" fillId="0" borderId="1" pivotButton="0" quotePrefix="0" xfId="0"/>
    <xf numFmtId="0" fontId="10" fillId="0" borderId="1" applyAlignment="1" pivotButton="0" quotePrefix="0" xfId="0">
      <alignment horizontal="right"/>
    </xf>
    <xf numFmtId="0" fontId="12" fillId="0" borderId="0" pivotButton="0" quotePrefix="0" xfId="0"/>
    <xf numFmtId="164" fontId="11" fillId="3" borderId="1" pivotButton="0" quotePrefix="0" xfId="0"/>
    <xf numFmtId="0" fontId="13" fillId="0" borderId="0" pivotButton="0" quotePrefix="0" xfId="0"/>
    <xf numFmtId="0" fontId="3" fillId="0" borderId="0" applyAlignment="1" pivotButton="0" quotePrefix="0" xfId="0">
      <alignment vertical="top" wrapText="1"/>
    </xf>
    <xf numFmtId="0" fontId="10" fillId="0" borderId="0" applyAlignment="1" pivotButton="0" quotePrefix="0" xfId="0">
      <alignment vertical="top" wrapText="1"/>
    </xf>
    <xf numFmtId="0" fontId="14" fillId="0" borderId="0" applyAlignment="1" pivotButton="0" quotePrefix="0" xfId="0">
      <alignment vertical="top" wrapText="1"/>
    </xf>
    <xf numFmtId="0" fontId="1" fillId="0" borderId="2" pivotButton="0" quotePrefix="0" xfId="0"/>
    <xf numFmtId="0" fontId="10" fillId="0" borderId="2" pivotButton="0" quotePrefix="0" xfId="0"/>
    <xf numFmtId="0" fontId="13" fillId="0" borderId="2" pivotButton="0" quotePrefix="0" xfId="0"/>
    <xf numFmtId="0" fontId="3" fillId="0" borderId="2" pivotButton="0" quotePrefix="0" xfId="0"/>
    <xf numFmtId="4" fontId="14" fillId="2" borderId="3" pivotButton="0" quotePrefix="0" xfId="0"/>
    <xf numFmtId="3" fontId="14" fillId="2" borderId="3" pivotButton="0" quotePrefix="0" xfId="0"/>
    <xf numFmtId="165" fontId="14" fillId="2" borderId="3" pivotButton="0" quotePrefix="0" xfId="0"/>
    <xf numFmtId="164" fontId="15" fillId="0" borderId="2" pivotButton="0" quotePrefix="0" xfId="0"/>
    <xf numFmtId="0" fontId="14" fillId="0" borderId="2" pivotButton="0" quotePrefix="0" xfId="0"/>
    <xf numFmtId="164" fontId="3" fillId="0" borderId="2" pivotButton="0" quotePrefix="0" xfId="0"/>
    <xf numFmtId="167" fontId="14" fillId="2" borderId="3" pivotButton="0" quotePrefix="0" xfId="0"/>
    <xf numFmtId="0" fontId="16" fillId="4" borderId="3" applyAlignment="1" pivotButton="0" quotePrefix="0" xfId="0">
      <alignment horizontal="center" vertical="center" wrapText="1"/>
    </xf>
    <xf numFmtId="3" fontId="10" fillId="0" borderId="3" pivotButton="0" quotePrefix="0" xfId="0"/>
    <xf numFmtId="164" fontId="10" fillId="0" borderId="3" pivotButton="0" quotePrefix="0" xfId="0"/>
    <xf numFmtId="165" fontId="10" fillId="0" borderId="3" pivotButton="0" quotePrefix="0" xfId="0"/>
    <xf numFmtId="165" fontId="14" fillId="5" borderId="3" pivotButton="0" quotePrefix="0" xfId="0"/>
    <xf numFmtId="164" fontId="14" fillId="5" borderId="3" pivotButton="0" quotePrefix="0" xfId="0"/>
    <xf numFmtId="0" fontId="13" fillId="0" borderId="2" applyAlignment="1" pivotButton="0" quotePrefix="0" xfId="0">
      <alignment vertical="top" wrapText="1"/>
    </xf>
    <xf numFmtId="3" fontId="14" fillId="6" borderId="3" pivotButton="0" quotePrefix="0" xfId="0"/>
    <xf numFmtId="164" fontId="14" fillId="6" borderId="3" pivotButton="0" quotePrefix="0" xfId="0"/>
    <xf numFmtId="3" fontId="15" fillId="0" borderId="2" pivotButton="0" quotePrefix="0" xfId="0"/>
    <xf numFmtId="166" fontId="15" fillId="0" borderId="2" pivotButton="0" quotePrefix="0" xfId="0"/>
    <xf numFmtId="165" fontId="15" fillId="0" borderId="2" pivotButton="0" quotePrefix="0" xfId="0"/>
    <xf numFmtId="0" fontId="10" fillId="0" borderId="0" pivotButton="0" quotePrefix="0" xfId="0"/>
    <xf numFmtId="164" fontId="15" fillId="0" borderId="0" pivotButton="0" quotePrefix="0" xfId="0"/>
    <xf numFmtId="165" fontId="15" fillId="0" borderId="0" pivotButton="0" quotePrefix="0" xfId="0"/>
    <xf numFmtId="0" fontId="14" fillId="0" borderId="0" pivotButton="0" quotePrefix="0" xfId="0"/>
    <xf numFmtId="164" fontId="3" fillId="0" borderId="0" pivotButton="0" quotePrefix="0" xfId="0"/>
    <xf numFmtId="166" fontId="15" fillId="0" borderId="0" pivotButton="0" quotePrefix="0" xfId="0"/>
    <xf numFmtId="0" fontId="10" fillId="2" borderId="3" pivotButton="0" quotePrefix="0" xfId="0"/>
    <xf numFmtId="2" fontId="10" fillId="2" borderId="3" pivotButton="0" quotePrefix="0" xfId="0"/>
    <xf numFmtId="167" fontId="10" fillId="2" borderId="3" pivotButton="0" quotePrefix="0" xfId="0"/>
    <xf numFmtId="3" fontId="10" fillId="2" borderId="3" pivotButton="0" quotePrefix="0" xfId="0"/>
    <xf numFmtId="164" fontId="10" fillId="5" borderId="3" pivotButton="0" quotePrefix="0" xfId="0"/>
    <xf numFmtId="166" fontId="10" fillId="0" borderId="3" pivotButton="0" quotePrefix="0" xfId="0"/>
    <xf numFmtId="0" fontId="10" fillId="0" borderId="3" applyAlignment="1" pivotButton="0" quotePrefix="0" xfId="0">
      <alignment vertical="center" wrapText="1"/>
    </xf>
    <xf numFmtId="164" fontId="3" fillId="5" borderId="0" pivotButton="0" quotePrefix="0" xfId="0"/>
    <xf numFmtId="164" fontId="3" fillId="5" borderId="3" pivotButton="0" quotePrefix="0" xfId="0"/>
    <xf numFmtId="0" fontId="15" fillId="0" borderId="0" pivotButton="0" quotePrefix="0" xfId="0"/>
    <xf numFmtId="0" fontId="12" fillId="0" borderId="3" applyAlignment="1" pivotButton="0" quotePrefix="0" xfId="0">
      <alignment vertical="center" wrapText="1"/>
    </xf>
    <xf numFmtId="0" fontId="13" fillId="0" borderId="0" applyAlignment="1" pivotButton="0" quotePrefix="0" xfId="0">
      <alignment vertical="top" wrapText="1"/>
    </xf>
    <xf numFmtId="0" fontId="10" fillId="5" borderId="0" pivotButton="0" quotePrefix="0" xfId="0"/>
    <xf numFmtId="165" fontId="10" fillId="5" borderId="3" pivotButton="0" quotePrefix="0" xfId="0"/>
    <xf numFmtId="166" fontId="10" fillId="5" borderId="3" pivotButton="0" quotePrefix="0" xfId="0"/>
    <xf numFmtId="0" fontId="10" fillId="5" borderId="3" applyAlignment="1" pivotButton="0" quotePrefix="0" xfId="0">
      <alignment vertical="center" wrapText="1"/>
    </xf>
    <xf numFmtId="164" fontId="10" fillId="2" borderId="3" pivotButton="0" quotePrefix="0" xfId="0"/>
  </cellXfs>
  <cellStyles count="1">
    <cellStyle name="Normal" xfId="0" builtinId="0" hidden="0"/>
  </cellStyles>
  <dxfs count="5">
    <dxf>
      <font>
        <b val="1"/>
        <color rgb="009B1C1C"/>
      </font>
      <fill>
        <patternFill patternType="solid">
          <fgColor rgb="00FBE3E3"/>
        </patternFill>
      </fill>
    </dxf>
    <dxf>
      <font>
        <b val="1"/>
        <color rgb="008B5E0A"/>
      </font>
      <fill>
        <patternFill patternType="solid">
          <fgColor rgb="00FDF0D5"/>
        </patternFill>
      </fill>
    </dxf>
    <dxf>
      <font>
        <b val="1"/>
        <color rgb="001B5E20"/>
      </font>
      <fill>
        <patternFill patternType="solid">
          <fgColor rgb="00E6F4E6"/>
        </patternFill>
      </fill>
    </dxf>
    <dxf>
      <fill>
        <patternFill patternType="solid">
          <fgColor rgb="00FBE3E3"/>
        </patternFill>
      </fill>
    </dxf>
    <dxf>
      <fill>
        <patternFill patternType="solid">
          <fgColor rgb="00E6F4E6"/>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0"/>
  <sheetViews>
    <sheetView showGridLines="0" workbookViewId="0">
      <selection activeCell="A1" sqref="A1"/>
    </sheetView>
  </sheetViews>
  <sheetFormatPr baseColWidth="8" defaultRowHeight="15"/>
  <cols>
    <col width="36" customWidth="1" min="1" max="1"/>
    <col width="104" customWidth="1" min="2" max="2"/>
  </cols>
  <sheetData>
    <row r="1">
      <c r="A1" s="1" t="inlineStr">
        <is>
          <t>Make My Coffee — Cost, Profit &amp; Voucher Playground</t>
        </is>
      </c>
    </row>
    <row r="2">
      <c r="A2" s="25" t="inlineStr">
        <is>
          <t>Guardrails so voucher and shipping spend cannot out-run the profit they are meant to grow.</t>
        </is>
      </c>
    </row>
    <row r="4">
      <c r="A4" s="26" t="inlineStr">
        <is>
          <t>HOW TO USE</t>
        </is>
      </c>
      <c r="B4" s="27" t="n"/>
    </row>
    <row r="5">
      <c r="A5" s="28" t="inlineStr">
        <is>
          <t>Yellow cells are inputs.</t>
        </is>
      </c>
      <c r="B5" s="27" t="inlineStr">
        <is>
          <t>Everything else is a formula and recalculates. Nothing is hard-coded.</t>
        </is>
      </c>
    </row>
    <row r="6">
      <c r="A6" s="28" t="inlineStr">
        <is>
          <t>Start on Inputs.</t>
        </is>
      </c>
      <c r="B6" s="27" t="inlineStr">
        <is>
          <t>Costs, prices, volume, the free-shipping caps and the promo guardrails all live there.</t>
        </is>
      </c>
    </row>
    <row r="7">
      <c r="A7" s="28" t="inlineStr">
        <is>
          <t>Plan promos on Vouchers.</t>
        </is>
      </c>
      <c r="B7" s="27" t="inlineStr">
        <is>
          <t>One row per campaign. The Verdict column says whether it is safe to run.</t>
        </is>
      </c>
    </row>
    <row r="8">
      <c r="A8" s="28" t="inlineStr">
        <is>
          <t>Check Marketing Budget.</t>
        </is>
      </c>
      <c r="B8" s="27" t="inlineStr">
        <is>
          <t>It computes the single binding cap on promo spend, and the net profit after it.</t>
        </is>
      </c>
    </row>
    <row r="9">
      <c r="A9" s="28" t="inlineStr">
        <is>
          <t>Stress-test on Scenarios.</t>
        </is>
      </c>
      <c r="B9" s="27" t="inlineStr">
        <is>
          <t>Blanket 5–30% discounts, and free shipping for everyone with and without the cap.</t>
        </is>
      </c>
    </row>
    <row r="10">
      <c r="A10" s="28" t="n"/>
      <c r="B10" s="27" t="n"/>
    </row>
    <row r="11">
      <c r="A11" s="26" t="inlineStr">
        <is>
          <t>FREE-SHIPPING RULES</t>
        </is>
      </c>
      <c r="B11" s="27" t="inlineStr">
        <is>
          <t>Lalamove quotes the real charge; these caps limit what we absorb.</t>
        </is>
      </c>
    </row>
    <row r="12">
      <c r="A12" s="28" t="inlineStr">
        <is>
          <t>Voucher free shipping → ₱150 cap</t>
        </is>
      </c>
      <c r="B12" s="27" t="inlineStr">
        <is>
          <t>We absorb at most ₱150 on any order carrying a free-shipping voucher. If Lalamove quotes ₱200, we pay ₱150 and the customer pays ₱50. Inside Metro Manila a typical ₱150 quote is fully covered, so it reads as free; outside Metro Manila the cap bites. Editable per campaign in admin — but the default must stay ₱150 so a forgotten setting cannot be abused.</t>
        </is>
      </c>
    </row>
    <row r="13">
      <c r="A13" s="28" t="inlineStr">
        <is>
          <t>Default free shipping → ₱1,200 minimum, ₱220 cap</t>
        </is>
      </c>
      <c r="B13" s="27" t="inlineStr">
        <is>
          <t>No voucher needed at or above a ₱1,200 order. We absorb at most ₱220 of the quote; the customer pays any excess. This replaces the old $30 (₱1,710) USD-denominated threshold.</t>
        </is>
      </c>
    </row>
    <row r="14">
      <c r="A14" s="28" t="inlineStr">
        <is>
          <t>The two rules do not stack</t>
        </is>
      </c>
      <c r="B14" s="27" t="inlineStr">
        <is>
          <t>At or above ₱1,200 the order already ships free under the default rule, so a free-shipping voucher adds nothing. The planner values such a voucher at ₱0 and flags the campaign REDUNDANT.</t>
        </is>
      </c>
    </row>
    <row r="15">
      <c r="A15" s="28" t="inlineStr">
        <is>
          <t>Zones are blended, not averaged</t>
        </is>
      </c>
      <c r="B15" s="27" t="inlineStr">
        <is>
          <t>The cap is applied per zone and then blended, because MIN(blended quote, cap) is not the same number as the blend of the capped amounts. Metro Manila share and both quote assumptions are inputs.</t>
        </is>
      </c>
    </row>
    <row r="16">
      <c r="A16" s="28" t="inlineStr">
        <is>
          <t>The uncapped figure is carried too</t>
        </is>
      </c>
      <c r="B16" s="27" t="inlineStr">
        <is>
          <t>Every free-shipping campaign shows what it would cost with no cap enforced, and the roll-up shows the difference. That is what the ₱150 default is worth in pesos each month.</t>
        </is>
      </c>
    </row>
    <row r="17">
      <c r="A17" s="28" t="n"/>
      <c r="B17" s="27" t="n"/>
    </row>
    <row r="18">
      <c r="A18" s="26" t="inlineStr">
        <is>
          <t>THE FOUR PROMO GUARDRAILS</t>
        </is>
      </c>
      <c r="B18" s="27" t="inlineStr">
        <is>
          <t>All set on Inputs, all enforced by formula.</t>
        </is>
      </c>
    </row>
    <row r="19">
      <c r="A19" s="28" t="inlineStr">
        <is>
          <t>1. Margin floor</t>
        </is>
      </c>
      <c r="B19" s="27" t="inlineStr">
        <is>
          <t>No promo may push a product's gross margin below this. Default 40%; products sit near 63% today. Analysis turns it into a Max safe discount % per product.</t>
        </is>
      </c>
    </row>
    <row r="20">
      <c r="A20" s="28" t="inlineStr">
        <is>
          <t>2. Cap — % of gross revenue</t>
        </is>
      </c>
      <c r="B20" s="27" t="inlineStr">
        <is>
          <t>Total promo spend may not exceed this share of gross revenue. Default 10%.</t>
        </is>
      </c>
    </row>
    <row r="21">
      <c r="A21" s="28" t="inlineStr">
        <is>
          <t>3. Cap — % of gross profit</t>
        </is>
      </c>
      <c r="B21" s="27" t="inlineStr">
        <is>
          <t>A second ceiling, because revenue can grow while profit does not. Default 20%.</t>
        </is>
      </c>
    </row>
    <row r="22">
      <c r="A22" s="28" t="inlineStr">
        <is>
          <t>4. Net profit floor</t>
        </is>
      </c>
      <c r="B22" s="27" t="inlineStr">
        <is>
          <t>A hard peso floor for monthly net profit. Promo spend is capped at whatever is left above it. Default ₱40,000.</t>
        </is>
      </c>
    </row>
    <row r="23">
      <c r="A23" s="28" t="n"/>
      <c r="B23" s="27" t="inlineStr">
        <is>
          <t>Marketing Budget takes the MINIMUM of caps 2, 3 and 4. The tightest binds — that is the real budget.</t>
        </is>
      </c>
    </row>
    <row r="24">
      <c r="A24" s="28" t="n"/>
      <c r="B24" s="27" t="n"/>
    </row>
    <row r="25">
      <c r="A25" s="26" t="inlineStr">
        <is>
          <t>WHAT THE MODEL CATCHES</t>
        </is>
      </c>
      <c r="B25" s="27" t="n"/>
    </row>
    <row r="26">
      <c r="A26" s="28" t="inlineStr">
        <is>
          <t>Discounts that break the margin floor</t>
        </is>
      </c>
      <c r="B26" s="27" t="inlineStr">
        <is>
          <t>At today's costs the max safe discount is roughly 39% on Starter and Classic, 38% on Reserve. Past that a sale still books revenue, but the margin is below the floor.</t>
        </is>
      </c>
    </row>
    <row r="27">
      <c r="A27" s="28" t="inlineStr">
        <is>
          <t>Vouchers with no real minimum spend</t>
        </is>
      </c>
      <c r="B27" s="27" t="inlineStr">
        <is>
          <t>If min spend is at or below the average order value, the voucher mostly discounts orders you would have received anyway: margin given away with no basket lift. Flagged CHECK.</t>
        </is>
      </c>
    </row>
    <row r="28">
      <c r="A28" s="28" t="inlineStr">
        <is>
          <t>Free-shipping vouchers that are redundant</t>
        </is>
      </c>
      <c r="B28" s="27" t="inlineStr">
        <is>
          <t>Min spend at or above ₱1,200 means the default rule already covers it. Flagged REDUNDANT.</t>
        </is>
      </c>
    </row>
    <row r="29">
      <c r="A29" s="28" t="inlineStr">
        <is>
          <t>Promos that need impossible volume</t>
        </is>
      </c>
      <c r="B29" s="27" t="inlineStr">
        <is>
          <t>Break-even extra orders / month is what a campaign must generate ON TOP of baseline just to pay for itself. If that is a large fraction of current orders, the campaign is a bet, not a plan.</t>
        </is>
      </c>
    </row>
    <row r="30">
      <c r="A30" s="28" t="inlineStr">
        <is>
          <t>Uplift assumed at zero</t>
        </is>
      </c>
      <c r="B30" s="27" t="inlineStr">
        <is>
          <t>Inputs has an incremental-uplift setting, left at 0%. Promo benefit is only counted once measured, which keeps every verdict conservative.</t>
        </is>
      </c>
    </row>
    <row r="31">
      <c r="A31" s="28" t="n"/>
      <c r="B31" s="27" t="n"/>
    </row>
    <row r="32">
      <c r="A32" s="26" t="inlineStr">
        <is>
          <t>WHAT CHANGED IN THIS FILE</t>
        </is>
      </c>
      <c r="B32" s="27" t="n"/>
    </row>
    <row r="33">
      <c r="A33" s="28" t="inlineStr">
        <is>
          <t>Brought up to date</t>
        </is>
      </c>
      <c r="B33" s="27" t="inlineStr">
        <is>
          <t>This copy was still the Aug-22 build: shipping fee $4.99, courier ₱100, 4 bottles/order, one flat ₱15 deco line. Now matches the current model — 2 bottles/order, separate ₱15.89 / ₱22.89 deco lines, paper bags and printouts, and 300 / 0 / 0 monthly volume.</t>
        </is>
      </c>
    </row>
    <row r="34">
      <c r="A34" s="28" t="inlineStr">
        <is>
          <t>Shipping is no longer a profit centre</t>
        </is>
      </c>
      <c r="B34" s="27" t="inlineStr">
        <is>
          <t>The old model charged a flat ₱171 against a ₱150 courier cost — a quiet +₱21 per order, ₱3,150 a month, that only existed because the fee was a guess. With Lalamove quoting the real charge, shipping is pass-through: it earns the markup on Inputs (₱0 today) and costs whatever the free-shipping rules give away. Set a markup above zero if shipping should contribute again. This is why baseline net profit is lower than the previous ₱59,920.71.</t>
        </is>
      </c>
    </row>
    <row r="35">
      <c r="A35" s="28" t="inlineStr">
        <is>
          <t>One bug fixed</t>
        </is>
      </c>
      <c r="B35" s="27" t="inlineStr">
        <is>
          <t>The free-shipping test on Analysis read cell C26, which was empty, so it always answered "NO — customer charged" by accident rather than by calculation.</t>
        </is>
      </c>
    </row>
    <row r="36">
      <c r="A36" s="28" t="inlineStr">
        <is>
          <t>Inputs consolidated</t>
        </is>
      </c>
      <c r="B36" s="27" t="inlineStr">
        <is>
          <t>Sell prices, shots per bottle and monthly volume were typed into Analysis before; they are inputs, so they now live on Inputs and Analysis references them.</t>
        </is>
      </c>
    </row>
    <row r="37">
      <c r="A37" s="28" t="inlineStr">
        <is>
          <t>Unchanged</t>
        </is>
      </c>
      <c r="B37" s="27" t="inlineStr">
        <is>
          <t>Cost per shot (₱18.47) and product economics (₱299 / ₱449 / ₱599 at 63.1–63.4% margin).</t>
        </is>
      </c>
    </row>
    <row r="38">
      <c r="A38" s="28" t="n"/>
      <c r="B38" s="27" t="n"/>
    </row>
    <row r="39">
      <c r="A39" s="26" t="inlineStr">
        <is>
          <t>NOT DONE HERE</t>
        </is>
      </c>
      <c r="B39" s="27" t="n"/>
    </row>
    <row r="40">
      <c r="A40" s="28" t="inlineStr">
        <is>
          <t>The app does not enforce these caps yet</t>
        </is>
      </c>
      <c r="B40" s="27" t="inlineStr">
        <is>
          <t>This sheet models the rules; nothing in the codebase implements them. The ₱150 voucher cap, the ₱1,200 / ₱220 default rule, and the admin field to edit the cap all still need building on the checkout and admin side, with ₱150 as the server-side default when the field is unset.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75"/>
  <sheetViews>
    <sheetView showGridLines="0" workbookViewId="0">
      <selection activeCell="A1" sqref="A1"/>
    </sheetView>
  </sheetViews>
  <sheetFormatPr baseColWidth="8" defaultRowHeight="15"/>
  <cols>
    <col width="40" customWidth="1" min="1" max="1"/>
    <col width="14" customWidth="1" min="2" max="2"/>
    <col width="60" customWidth="1" min="3" max="3"/>
  </cols>
  <sheetData>
    <row r="1">
      <c r="A1" s="29" t="inlineStr">
        <is>
          <t>Make My Coffee — Cost &amp; Profit Playground</t>
        </is>
      </c>
      <c r="B1" s="30" t="n"/>
      <c r="C1" s="30" t="n"/>
      <c r="D1" s="30" t="n"/>
      <c r="E1" s="30" t="n"/>
    </row>
    <row r="2">
      <c r="A2" s="31" t="inlineStr">
        <is>
          <t>Edit the highlighted (yellow) cells. Everything else recalculates automatically.</t>
        </is>
      </c>
      <c r="B2" s="30" t="n"/>
      <c r="C2" s="30" t="n"/>
      <c r="D2" s="30" t="n"/>
      <c r="E2" s="30" t="n"/>
    </row>
    <row r="3">
      <c r="A3" s="30" t="n"/>
      <c r="B3" s="30" t="n"/>
      <c r="C3" s="30" t="n"/>
      <c r="D3" s="30" t="n"/>
      <c r="E3" s="30" t="n"/>
    </row>
    <row r="4">
      <c r="A4" s="32" t="inlineStr">
        <is>
          <t>Ingredients &amp; Utilities</t>
        </is>
      </c>
      <c r="B4" s="30" t="n"/>
      <c r="C4" s="30" t="n"/>
      <c r="D4" s="30" t="n"/>
      <c r="E4" s="30" t="n"/>
    </row>
    <row r="5">
      <c r="A5" s="30" t="inlineStr">
        <is>
          <t>Coffee beans price</t>
        </is>
      </c>
      <c r="B5" s="33" t="n">
        <v>900</v>
      </c>
      <c r="C5" s="31" t="inlineStr">
        <is>
          <t>PHP per kg</t>
        </is>
      </c>
      <c r="D5" s="30" t="n"/>
      <c r="E5" s="30" t="n"/>
    </row>
    <row r="6">
      <c r="A6" s="30" t="inlineStr">
        <is>
          <t>Ground coffee per shot</t>
        </is>
      </c>
      <c r="B6" s="34" t="n">
        <v>18</v>
      </c>
      <c r="C6" s="31" t="inlineStr">
        <is>
          <t>grams</t>
        </is>
      </c>
      <c r="D6" s="30" t="n"/>
      <c r="E6" s="30" t="n"/>
    </row>
    <row r="7">
      <c r="A7" s="30" t="inlineStr">
        <is>
          <t>Shot volume</t>
        </is>
      </c>
      <c r="B7" s="34" t="n">
        <v>36</v>
      </c>
      <c r="C7" s="31" t="inlineStr">
        <is>
          <t>ml (reference only)</t>
        </is>
      </c>
      <c r="D7" s="30" t="n"/>
      <c r="E7" s="30" t="n"/>
    </row>
    <row r="8">
      <c r="A8" s="30" t="inlineStr">
        <is>
          <t>Electricity rate</t>
        </is>
      </c>
      <c r="B8" s="33" t="n">
        <v>16</v>
      </c>
      <c r="C8" s="31" t="inlineStr">
        <is>
          <t>PHP per kWh</t>
        </is>
      </c>
      <c r="D8" s="30" t="n"/>
      <c r="E8" s="30" t="n"/>
    </row>
    <row r="9">
      <c r="A9" s="30" t="inlineStr">
        <is>
          <t>Espresso machine power</t>
        </is>
      </c>
      <c r="B9" s="34" t="n">
        <v>3000</v>
      </c>
      <c r="C9" s="31" t="inlineStr">
        <is>
          <t>watts</t>
        </is>
      </c>
      <c r="D9" s="30" t="n"/>
      <c r="E9" s="30" t="n"/>
    </row>
    <row r="10">
      <c r="A10" s="30" t="inlineStr">
        <is>
          <t>Grinder power</t>
        </is>
      </c>
      <c r="B10" s="34" t="n">
        <v>600</v>
      </c>
      <c r="C10" s="31" t="inlineStr">
        <is>
          <t>watts</t>
        </is>
      </c>
      <c r="D10" s="30" t="n"/>
      <c r="E10" s="30" t="n"/>
    </row>
    <row r="11">
      <c r="A11" s="30" t="inlineStr">
        <is>
          <t>Machine run-time per shot</t>
        </is>
      </c>
      <c r="B11" s="34" t="n">
        <v>60</v>
      </c>
      <c r="C11" s="31" t="inlineStr">
        <is>
          <t>seconds (assumption)</t>
        </is>
      </c>
      <c r="D11" s="30" t="n"/>
      <c r="E11" s="30" t="n"/>
    </row>
    <row r="12">
      <c r="A12" s="30" t="inlineStr">
        <is>
          <t>Grinder run-time per shot</t>
        </is>
      </c>
      <c r="B12" s="34" t="n">
        <v>15</v>
      </c>
      <c r="C12" s="31" t="inlineStr">
        <is>
          <t>seconds (assumption)</t>
        </is>
      </c>
      <c r="D12" s="30" t="n"/>
      <c r="E12" s="30" t="n"/>
    </row>
    <row r="13">
      <c r="A13" s="30" t="n"/>
      <c r="B13" s="30" t="n"/>
      <c r="C13" s="30" t="n"/>
      <c r="D13" s="30" t="n"/>
      <c r="E13" s="30" t="n"/>
    </row>
    <row r="14">
      <c r="A14" s="32" t="inlineStr">
        <is>
          <t>Labor</t>
        </is>
      </c>
      <c r="B14" s="30" t="n"/>
      <c r="C14" s="30" t="n"/>
      <c r="D14" s="30" t="n"/>
      <c r="E14" s="30" t="n"/>
    </row>
    <row r="15">
      <c r="A15" s="30" t="inlineStr">
        <is>
          <t>Labor cost per day</t>
        </is>
      </c>
      <c r="B15" s="33" t="n">
        <v>300</v>
      </c>
      <c r="C15" s="31" t="inlineStr">
        <is>
          <t>PHP per day</t>
        </is>
      </c>
      <c r="D15" s="30" t="n"/>
      <c r="E15" s="30" t="n"/>
    </row>
    <row r="16">
      <c r="A16" s="30" t="inlineStr">
        <is>
          <t>Shots produced per day</t>
        </is>
      </c>
      <c r="B16" s="34" t="n">
        <v>210</v>
      </c>
      <c r="C16" s="31" t="inlineStr">
        <is>
          <t>throughput (assumption)</t>
        </is>
      </c>
      <c r="D16" s="30" t="n"/>
      <c r="E16" s="30" t="n"/>
    </row>
    <row r="17">
      <c r="A17" s="30" t="n"/>
      <c r="B17" s="30" t="n"/>
      <c r="C17" s="30" t="n"/>
      <c r="D17" s="30" t="n"/>
      <c r="E17" s="30" t="n"/>
    </row>
    <row r="18">
      <c r="A18" s="32" t="inlineStr">
        <is>
          <t>Packaging (per bottle, by size)</t>
        </is>
      </c>
      <c r="B18" s="30" t="n"/>
      <c r="C18" s="30" t="n"/>
      <c r="D18" s="30" t="n"/>
      <c r="E18" s="30" t="n"/>
    </row>
    <row r="19">
      <c r="A19" s="30" t="inlineStr">
        <is>
          <t>Bottle 120 mL</t>
        </is>
      </c>
      <c r="B19" s="33" t="n">
        <v>20</v>
      </c>
      <c r="C19" s="31" t="inlineStr">
        <is>
          <t>PHP — Starter</t>
        </is>
      </c>
      <c r="D19" s="30" t="n"/>
      <c r="E19" s="30" t="n"/>
    </row>
    <row r="20">
      <c r="A20" s="30" t="inlineStr">
        <is>
          <t>Bottle 250 mL</t>
        </is>
      </c>
      <c r="B20" s="33" t="n">
        <v>12</v>
      </c>
      <c r="C20" s="31" t="inlineStr">
        <is>
          <t>PHP — Classic</t>
        </is>
      </c>
      <c r="D20" s="30" t="n"/>
      <c r="E20" s="30" t="n"/>
    </row>
    <row r="21">
      <c r="A21" s="30" t="inlineStr">
        <is>
          <t>Bottle 300 mL</t>
        </is>
      </c>
      <c r="B21" s="33" t="n">
        <v>13.5</v>
      </c>
      <c r="C21" s="31" t="inlineStr">
        <is>
          <t>PHP — Reserve</t>
        </is>
      </c>
      <c r="D21" s="30" t="n"/>
      <c r="E21" s="30" t="n"/>
    </row>
    <row r="22">
      <c r="A22" s="30" t="inlineStr">
        <is>
          <t>Small paper bag packaging</t>
        </is>
      </c>
      <c r="B22" s="33" t="n">
        <v>7.8</v>
      </c>
      <c r="C22" s="31" t="inlineStr">
        <is>
          <t>PHP per bag</t>
        </is>
      </c>
      <c r="D22" s="30" t="n"/>
      <c r="E22" s="30" t="n"/>
    </row>
    <row r="23">
      <c r="A23" s="30" t="inlineStr">
        <is>
          <t>Large paper bag</t>
        </is>
      </c>
      <c r="B23" s="33" t="n">
        <v>14.8</v>
      </c>
      <c r="C23" s="31" t="inlineStr">
        <is>
          <t>PHP per bag</t>
        </is>
      </c>
      <c r="D23" s="30" t="n"/>
      <c r="E23" s="30" t="n"/>
    </row>
    <row r="24">
      <c r="A24" s="30" t="inlineStr">
        <is>
          <t>Printouts</t>
        </is>
      </c>
      <c r="B24" s="33" t="n">
        <v>8.09</v>
      </c>
      <c r="C24" s="31" t="inlineStr">
        <is>
          <t>PHP — 3 stickers</t>
        </is>
      </c>
      <c r="D24" s="30" t="n"/>
      <c r="E24" s="30" t="n"/>
    </row>
    <row r="25">
      <c r="A25" s="30" t="inlineStr">
        <is>
          <t>(120ml) Plastics, deco &amp; printouts</t>
        </is>
      </c>
      <c r="B25" s="33" t="n">
        <v>15.89</v>
      </c>
      <c r="C25" s="31" t="inlineStr">
        <is>
          <t>PHP per unit</t>
        </is>
      </c>
      <c r="D25" s="30" t="n"/>
      <c r="E25" s="30" t="n"/>
    </row>
    <row r="26">
      <c r="A26" s="30" t="inlineStr">
        <is>
          <t>(250,300ml) Plastics, deco &amp; printouts</t>
        </is>
      </c>
      <c r="B26" s="33" t="n">
        <v>22.89</v>
      </c>
      <c r="C26" s="31" t="inlineStr">
        <is>
          <t>PHP per unit</t>
        </is>
      </c>
      <c r="D26" s="30" t="n"/>
      <c r="E26" s="30" t="n"/>
    </row>
    <row r="27">
      <c r="A27" s="30" t="n"/>
      <c r="B27" s="30" t="n"/>
      <c r="C27" s="30" t="n"/>
      <c r="D27" s="30" t="n"/>
      <c r="E27" s="30" t="n"/>
    </row>
    <row r="28">
      <c r="A28" s="32" t="inlineStr">
        <is>
          <t>Delivery &amp; Shipping</t>
        </is>
      </c>
      <c r="B28" s="30" t="n"/>
      <c r="C28" s="30" t="n"/>
      <c r="D28" s="30" t="n"/>
      <c r="E28" s="30" t="n"/>
    </row>
    <row r="29">
      <c r="A29" s="30" t="inlineStr">
        <is>
          <t>USD -&gt; PHP exchange rate</t>
        </is>
      </c>
      <c r="B29" s="33" t="n">
        <v>57</v>
      </c>
      <c r="C29" s="31" t="inlineStr">
        <is>
          <t>reference only — shipping is quoted in PHP by Lalamove</t>
        </is>
      </c>
      <c r="D29" s="30" t="n"/>
      <c r="E29" s="30" t="n"/>
    </row>
    <row r="30">
      <c r="A30" s="30" t="inlineStr">
        <is>
          <t>Avg Lalamove quote — Metro Manila</t>
        </is>
      </c>
      <c r="B30" s="33" t="n">
        <v>150</v>
      </c>
      <c r="C30" s="31" t="inlineStr">
        <is>
          <t>PHP — assumption; the real charge comes from the API</t>
        </is>
      </c>
      <c r="D30" s="30" t="n"/>
      <c r="E30" s="30" t="n"/>
    </row>
    <row r="31">
      <c r="A31" s="30" t="inlineStr">
        <is>
          <t>Avg Lalamove quote — outside Metro Manila</t>
        </is>
      </c>
      <c r="B31" s="33" t="n">
        <v>250</v>
      </c>
      <c r="C31" s="31" t="inlineStr">
        <is>
          <t>PHP — assumption; replace with real quotes</t>
        </is>
      </c>
      <c r="D31" s="30" t="n"/>
      <c r="E31" s="30" t="n"/>
    </row>
    <row r="32">
      <c r="A32" s="30" t="inlineStr">
        <is>
          <t>% of orders inside Metro Manila</t>
        </is>
      </c>
      <c r="B32" s="35" t="n">
        <v>0.7</v>
      </c>
      <c r="C32" s="31" t="inlineStr">
        <is>
          <t>assumption</t>
        </is>
      </c>
      <c r="D32" s="30" t="n"/>
      <c r="E32" s="30" t="n"/>
    </row>
    <row r="33">
      <c r="A33" s="30" t="inlineStr">
        <is>
          <t>Blended avg shipping quote</t>
        </is>
      </c>
      <c r="B33" s="36">
        <f>B32*B30+(1-B32)*B31</f>
        <v/>
      </c>
      <c r="C33" s="30" t="n"/>
      <c r="D33" s="30" t="n"/>
      <c r="E33" s="30" t="n"/>
    </row>
    <row r="34">
      <c r="A34" s="30" t="inlineStr">
        <is>
          <t>Shipping markup charged on top of the quote</t>
        </is>
      </c>
      <c r="B34" s="33" t="n">
        <v>0</v>
      </c>
      <c r="C34" s="31" t="inlineStr">
        <is>
          <t>PHP — 0 means shipping is pure pass-through and earns nothing</t>
        </is>
      </c>
      <c r="D34" s="30" t="n"/>
      <c r="E34" s="30" t="n"/>
    </row>
    <row r="35">
      <c r="A35" s="30" t="inlineStr">
        <is>
          <t>Avg bottles per order</t>
        </is>
      </c>
      <c r="B35" s="34" t="n">
        <v>2</v>
      </c>
      <c r="C35" s="31" t="inlineStr">
        <is>
          <t>assumption</t>
        </is>
      </c>
      <c r="D35" s="30" t="n"/>
      <c r="E35" s="30" t="n"/>
    </row>
    <row r="36">
      <c r="A36" s="30" t="n"/>
      <c r="B36" s="30" t="n"/>
      <c r="C36" s="30" t="n"/>
      <c r="D36" s="30" t="n"/>
      <c r="E36" s="30" t="n"/>
    </row>
    <row r="37">
      <c r="A37" s="32" t="inlineStr">
        <is>
          <t>Free-shipping rules   ★ NEW</t>
        </is>
      </c>
      <c r="B37" s="30" t="n"/>
      <c r="C37" s="30" t="n"/>
      <c r="D37" s="30" t="n"/>
      <c r="E37" s="30" t="n"/>
    </row>
    <row r="38">
      <c r="A38" s="30" t="inlineStr">
        <is>
          <t>Default free shipping — minimum order</t>
        </is>
      </c>
      <c r="B38" s="33" t="n">
        <v>1200</v>
      </c>
      <c r="C38" s="31" t="inlineStr">
        <is>
          <t>PHP — no voucher needed at or above this</t>
        </is>
      </c>
      <c r="D38" s="30" t="n"/>
      <c r="E38" s="30" t="n"/>
    </row>
    <row r="39">
      <c r="A39" s="30" t="inlineStr">
        <is>
          <t>Default free shipping — max we absorb</t>
        </is>
      </c>
      <c r="B39" s="33" t="n">
        <v>220</v>
      </c>
      <c r="C39" s="31" t="inlineStr">
        <is>
          <t>PHP — customer pays any quote above this</t>
        </is>
      </c>
      <c r="D39" s="30" t="n"/>
      <c r="E39" s="30" t="n"/>
    </row>
    <row r="40">
      <c r="A40" s="30" t="inlineStr">
        <is>
          <t>Voucher free shipping — max we absorb</t>
        </is>
      </c>
      <c r="B40" s="33" t="n">
        <v>150</v>
      </c>
      <c r="C40" s="31" t="inlineStr">
        <is>
          <t>PHP — admin-editable; leave at 150 so a forgotten setting cannot be abused</t>
        </is>
      </c>
      <c r="D40" s="30" t="n"/>
      <c r="E40" s="30" t="n"/>
    </row>
    <row r="41">
      <c r="A41" s="30" t="inlineStr">
        <is>
          <t>% of orders that reach the minimum order</t>
        </is>
      </c>
      <c r="B41" s="35" t="n">
        <v>0.05</v>
      </c>
      <c r="C41" s="31" t="inlineStr">
        <is>
          <t>assumption — AOV is well below the minimum today</t>
        </is>
      </c>
      <c r="D41" s="30" t="n"/>
      <c r="E41" s="30" t="n"/>
    </row>
    <row r="42">
      <c r="A42" s="30" t="n"/>
      <c r="B42" s="30" t="n"/>
      <c r="C42" s="30" t="n"/>
      <c r="D42" s="30" t="n"/>
      <c r="E42" s="30" t="n"/>
    </row>
    <row r="43">
      <c r="A43" s="32" t="inlineStr">
        <is>
          <t>We absorb per free-shipped order (computed)</t>
        </is>
      </c>
      <c r="B43" s="30" t="n"/>
      <c r="C43" s="30" t="n"/>
      <c r="D43" s="30" t="n"/>
      <c r="E43" s="30" t="n"/>
    </row>
    <row r="44">
      <c r="A44" s="30" t="inlineStr">
        <is>
          <t>Default rule — Metro Manila</t>
        </is>
      </c>
      <c r="B44" s="36">
        <f>MIN(B30,B39)</f>
        <v/>
      </c>
      <c r="C44" s="30" t="n"/>
      <c r="D44" s="30" t="n"/>
      <c r="E44" s="30" t="n"/>
    </row>
    <row r="45">
      <c r="A45" s="30" t="inlineStr">
        <is>
          <t>Default rule — outside Metro Manila</t>
        </is>
      </c>
      <c r="B45" s="36">
        <f>MIN(B31,B39)</f>
        <v/>
      </c>
      <c r="C45" s="31" t="inlineStr">
        <is>
          <t>cap bites: customer pays the excess</t>
        </is>
      </c>
      <c r="D45" s="30" t="n"/>
      <c r="E45" s="30" t="n"/>
    </row>
    <row r="46">
      <c r="A46" s="30" t="inlineStr">
        <is>
          <t>Default rule — blended</t>
        </is>
      </c>
      <c r="B46" s="36">
        <f>B32*B44+(1-B32)*B45</f>
        <v/>
      </c>
      <c r="C46" s="30" t="n"/>
      <c r="D46" s="30" t="n"/>
      <c r="E46" s="30" t="n"/>
    </row>
    <row r="47">
      <c r="A47" s="30" t="inlineStr">
        <is>
          <t>Voucher — Metro Manila</t>
        </is>
      </c>
      <c r="B47" s="36">
        <f>MIN(B30,B40)</f>
        <v/>
      </c>
      <c r="C47" s="30" t="n"/>
      <c r="D47" s="30" t="n"/>
      <c r="E47" s="30" t="n"/>
    </row>
    <row r="48">
      <c r="A48" s="30" t="inlineStr">
        <is>
          <t>Voucher — outside Metro Manila</t>
        </is>
      </c>
      <c r="B48" s="36">
        <f>MIN(B31,B40)</f>
        <v/>
      </c>
      <c r="C48" s="31" t="inlineStr">
        <is>
          <t>cap bites: customer pays the excess</t>
        </is>
      </c>
      <c r="D48" s="30" t="n"/>
      <c r="E48" s="30" t="n"/>
    </row>
    <row r="49">
      <c r="A49" s="37" t="inlineStr">
        <is>
          <t>Voucher — blended</t>
        </is>
      </c>
      <c r="B49" s="38">
        <f>B32*B47+(1-B32)*B48</f>
        <v/>
      </c>
      <c r="C49" s="31" t="inlineStr">
        <is>
          <t>the "-₱150" figure</t>
        </is>
      </c>
      <c r="D49" s="30" t="n"/>
      <c r="E49" s="30" t="n"/>
    </row>
    <row r="50">
      <c r="A50" s="30" t="inlineStr">
        <is>
          <t>If a cap is NOT enforced (blended)</t>
        </is>
      </c>
      <c r="B50" s="36">
        <f>B33</f>
        <v/>
      </c>
      <c r="C50" s="31" t="inlineStr">
        <is>
          <t>the abuse case — full quote, whatever it is</t>
        </is>
      </c>
      <c r="D50" s="30" t="n"/>
      <c r="E50" s="30" t="n"/>
    </row>
    <row r="51">
      <c r="A51" s="30" t="n"/>
      <c r="B51" s="30" t="n"/>
      <c r="C51" s="30" t="n"/>
      <c r="D51" s="30" t="n"/>
      <c r="E51" s="30" t="n"/>
    </row>
    <row r="52">
      <c r="A52" s="32" t="inlineStr">
        <is>
          <t>Promo guardrails   ★ NEW</t>
        </is>
      </c>
      <c r="B52" s="30" t="n"/>
      <c r="C52" s="30" t="n"/>
      <c r="D52" s="30" t="n"/>
      <c r="E52" s="30" t="n"/>
    </row>
    <row r="53">
      <c r="A53" s="30" t="inlineStr">
        <is>
          <t>Minimum margin floor after discount</t>
        </is>
      </c>
      <c r="B53" s="35" t="n">
        <v>0.4</v>
      </c>
      <c r="C53" s="31" t="inlineStr">
        <is>
          <t>no promo may push a product below this gross margin</t>
        </is>
      </c>
      <c r="D53" s="30" t="n"/>
      <c r="E53" s="30" t="n"/>
    </row>
    <row r="54">
      <c r="A54" s="30" t="inlineStr">
        <is>
          <t>Marketing cap — % of gross revenue</t>
        </is>
      </c>
      <c r="B54" s="35" t="n">
        <v>0.1</v>
      </c>
      <c r="C54" s="31" t="inlineStr">
        <is>
          <t>ceiling on total promo spend</t>
        </is>
      </c>
      <c r="D54" s="30" t="n"/>
      <c r="E54" s="30" t="n"/>
    </row>
    <row r="55">
      <c r="A55" s="30" t="inlineStr">
        <is>
          <t>Marketing cap — % of gross profit</t>
        </is>
      </c>
      <c r="B55" s="35" t="n">
        <v>0.2</v>
      </c>
      <c r="C55" s="31" t="inlineStr">
        <is>
          <t>second ceiling — revenue can grow while profit does not</t>
        </is>
      </c>
      <c r="D55" s="30" t="n"/>
      <c r="E55" s="30" t="n"/>
    </row>
    <row r="56">
      <c r="A56" s="30" t="inlineStr">
        <is>
          <t>Minimum net profit floor</t>
        </is>
      </c>
      <c r="B56" s="39" t="n">
        <v>40000</v>
      </c>
      <c r="C56" s="31" t="inlineStr">
        <is>
          <t>PHP / month — promo spend is capped by whatever sits above this</t>
        </is>
      </c>
      <c r="D56" s="30" t="n"/>
      <c r="E56" s="30" t="n"/>
    </row>
    <row r="57">
      <c r="A57" s="30" t="inlineStr">
        <is>
          <t>Assumed incremental uplift from promos</t>
        </is>
      </c>
      <c r="B57" s="35" t="n">
        <v>0</v>
      </c>
      <c r="C57" s="31" t="inlineStr">
        <is>
          <t>% extra orders promos actually generate — keep at 0 until measured</t>
        </is>
      </c>
      <c r="D57" s="30" t="n"/>
      <c r="E57" s="30" t="n"/>
    </row>
    <row r="58">
      <c r="A58" s="30" t="n"/>
      <c r="B58" s="30" t="n"/>
      <c r="C58" s="30" t="n"/>
      <c r="D58" s="30" t="n"/>
      <c r="E58" s="30" t="n"/>
    </row>
    <row r="59">
      <c r="A59" s="32" t="inlineStr">
        <is>
          <t>Monthly volume</t>
        </is>
      </c>
      <c r="B59" s="30" t="n"/>
      <c r="C59" s="30" t="n"/>
      <c r="D59" s="30" t="n"/>
      <c r="E59" s="30" t="n"/>
    </row>
    <row r="60">
      <c r="A60" s="30" t="inlineStr">
        <is>
          <t>Aconchego Starter — units / month</t>
        </is>
      </c>
      <c r="B60" s="34" t="n">
        <v>300</v>
      </c>
      <c r="C60" s="30" t="n"/>
      <c r="D60" s="30" t="n"/>
      <c r="E60" s="30" t="n"/>
    </row>
    <row r="61">
      <c r="A61" s="30" t="inlineStr">
        <is>
          <t>Aconchego Classic — units / month</t>
        </is>
      </c>
      <c r="B61" s="34" t="n">
        <v>0</v>
      </c>
      <c r="C61" s="30" t="n"/>
      <c r="D61" s="30" t="n"/>
      <c r="E61" s="30" t="n"/>
    </row>
    <row r="62">
      <c r="A62" s="30" t="inlineStr">
        <is>
          <t>Aconchego Reserve — units / month</t>
        </is>
      </c>
      <c r="B62" s="34" t="n">
        <v>0</v>
      </c>
      <c r="C62" s="30" t="n"/>
      <c r="D62" s="30" t="n"/>
      <c r="E62" s="30" t="n"/>
    </row>
    <row r="63">
      <c r="A63" s="30" t="n"/>
      <c r="B63" s="30" t="n"/>
      <c r="C63" s="30" t="n"/>
      <c r="D63" s="30" t="n"/>
      <c r="E63" s="30" t="n"/>
    </row>
    <row r="64">
      <c r="A64" s="32" t="inlineStr">
        <is>
          <t>Sell prices &amp; recipe</t>
        </is>
      </c>
      <c r="B64" s="30" t="n"/>
      <c r="C64" s="30" t="n"/>
      <c r="D64" s="30" t="n"/>
      <c r="E64" s="30" t="n"/>
    </row>
    <row r="65">
      <c r="A65" s="30" t="inlineStr">
        <is>
          <t>Aconchego Starter — price</t>
        </is>
      </c>
      <c r="B65" s="33" t="n">
        <v>299</v>
      </c>
      <c r="C65" s="31" t="inlineStr">
        <is>
          <t>PHP</t>
        </is>
      </c>
      <c r="D65" s="30" t="n"/>
      <c r="E65" s="30" t="n"/>
    </row>
    <row r="66">
      <c r="A66" s="30" t="inlineStr">
        <is>
          <t>Aconchego Classic — price</t>
        </is>
      </c>
      <c r="B66" s="33" t="n">
        <v>449</v>
      </c>
      <c r="C66" s="31" t="inlineStr">
        <is>
          <t>PHP</t>
        </is>
      </c>
      <c r="D66" s="30" t="n"/>
      <c r="E66" s="30" t="n"/>
    </row>
    <row r="67">
      <c r="A67" s="30" t="inlineStr">
        <is>
          <t>Aconchego Reserve — price</t>
        </is>
      </c>
      <c r="B67" s="33" t="n">
        <v>599</v>
      </c>
      <c r="C67" s="31" t="inlineStr">
        <is>
          <t>PHP</t>
        </is>
      </c>
      <c r="D67" s="30" t="n"/>
      <c r="E67" s="30" t="n"/>
    </row>
    <row r="68">
      <c r="A68" s="30" t="inlineStr">
        <is>
          <t>Aconchego Starter — shots per bottle</t>
        </is>
      </c>
      <c r="B68" s="34" t="n">
        <v>4</v>
      </c>
      <c r="C68" s="30" t="n"/>
      <c r="D68" s="30" t="n"/>
      <c r="E68" s="30" t="n"/>
    </row>
    <row r="69">
      <c r="A69" s="30" t="inlineStr">
        <is>
          <t>Aconchego Classic — shots per bottle</t>
        </is>
      </c>
      <c r="B69" s="34" t="n">
        <v>7</v>
      </c>
      <c r="C69" s="30" t="n"/>
      <c r="D69" s="30" t="n"/>
      <c r="E69" s="30" t="n"/>
    </row>
    <row r="70">
      <c r="A70" s="30" t="inlineStr">
        <is>
          <t>Aconchego Reserve — shots per bottle</t>
        </is>
      </c>
      <c r="B70" s="34" t="n">
        <v>10</v>
      </c>
      <c r="C70" s="30" t="n"/>
      <c r="D70" s="30" t="n"/>
      <c r="E70" s="30" t="n"/>
    </row>
    <row r="71">
      <c r="A71" s="30" t="n"/>
      <c r="B71" s="30" t="n"/>
      <c r="C71" s="30" t="n"/>
      <c r="D71" s="30" t="n"/>
      <c r="E71" s="30" t="n"/>
    </row>
    <row r="72">
      <c r="A72" s="30" t="n"/>
      <c r="B72" s="30" t="n"/>
      <c r="C72" s="30" t="n"/>
      <c r="D72" s="30" t="n"/>
      <c r="E72" s="30" t="n"/>
    </row>
    <row r="73">
      <c r="A73" s="30" t="n"/>
      <c r="B73" s="30" t="n"/>
      <c r="C73" s="30" t="n"/>
      <c r="D73" s="30" t="n"/>
      <c r="E73" s="30" t="n"/>
    </row>
    <row r="74">
      <c r="A74" s="30" t="n"/>
      <c r="B74" s="30" t="n"/>
      <c r="C74" s="30" t="n"/>
      <c r="D74" s="30" t="n"/>
      <c r="E74" s="30" t="n"/>
    </row>
    <row r="75">
      <c r="A75" s="30" t="n"/>
      <c r="B75" s="30" t="n"/>
      <c r="C75" s="30" t="n"/>
      <c r="D75" s="30" t="n"/>
      <c r="E75" s="30" t="n"/>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45"/>
  <sheetViews>
    <sheetView showGridLines="0" workbookViewId="0">
      <selection activeCell="A1" sqref="A1"/>
    </sheetView>
  </sheetViews>
  <sheetFormatPr baseColWidth="8" defaultRowHeight="15"/>
  <cols>
    <col width="34" customWidth="1" min="1" max="1"/>
    <col width="14" customWidth="1" min="2" max="2"/>
    <col width="11" customWidth="1" min="3" max="3"/>
    <col width="11" customWidth="1" min="4" max="4"/>
    <col width="12" customWidth="1" min="5" max="5"/>
    <col width="11" customWidth="1" min="6" max="6"/>
    <col width="10" customWidth="1" min="7" max="7"/>
    <col width="11" customWidth="1" min="8" max="8"/>
    <col width="11" customWidth="1" min="9" max="9"/>
    <col width="11" customWidth="1" min="10" max="10"/>
    <col width="10" customWidth="1" min="11" max="11"/>
    <col width="10" customWidth="1" min="12" max="12"/>
    <col width="15" customWidth="1" min="13" max="13"/>
    <col width="16" customWidth="1" min="14" max="14"/>
    <col width="16" customWidth="1" min="15" max="15"/>
  </cols>
  <sheetData>
    <row r="1">
      <c r="A1" s="29" t="inlineStr">
        <is>
          <t>Cost per Shot</t>
        </is>
      </c>
      <c r="B1" s="30" t="n"/>
      <c r="C1" s="30" t="n"/>
      <c r="D1" s="30" t="n"/>
      <c r="E1" s="30" t="n"/>
      <c r="F1" s="30" t="n"/>
      <c r="G1" s="30" t="n"/>
      <c r="H1" s="30" t="n"/>
      <c r="I1" s="30" t="n"/>
      <c r="J1" s="30" t="n"/>
      <c r="K1" s="30" t="n"/>
      <c r="L1" s="30" t="n"/>
      <c r="M1" s="30" t="n"/>
      <c r="N1" s="30" t="n"/>
      <c r="O1" s="30" t="n"/>
      <c r="P1" s="30" t="n"/>
    </row>
    <row r="2">
      <c r="A2" s="30" t="n"/>
      <c r="B2" s="30" t="n"/>
      <c r="C2" s="30" t="n"/>
      <c r="D2" s="30" t="n"/>
      <c r="E2" s="30" t="n"/>
      <c r="F2" s="30" t="n"/>
      <c r="G2" s="30" t="n"/>
      <c r="H2" s="30" t="n"/>
      <c r="I2" s="30" t="n"/>
      <c r="J2" s="30" t="n"/>
      <c r="K2" s="30" t="n"/>
      <c r="L2" s="30" t="n"/>
      <c r="M2" s="30" t="n"/>
      <c r="N2" s="30" t="n"/>
      <c r="O2" s="30" t="n"/>
      <c r="P2" s="30" t="n"/>
    </row>
    <row r="3">
      <c r="A3" s="30" t="inlineStr">
        <is>
          <t>Beans per shot</t>
        </is>
      </c>
      <c r="B3" s="36">
        <f>Inputs!B5/1000*Inputs!B6</f>
        <v/>
      </c>
      <c r="C3" s="30" t="n"/>
      <c r="D3" s="30" t="n"/>
      <c r="E3" s="30" t="n"/>
      <c r="F3" s="30" t="n"/>
      <c r="G3" s="30" t="n"/>
      <c r="H3" s="30" t="n"/>
      <c r="I3" s="30" t="n"/>
      <c r="J3" s="30" t="n"/>
      <c r="K3" s="30" t="n"/>
      <c r="L3" s="30" t="n"/>
      <c r="M3" s="30" t="n"/>
      <c r="N3" s="30" t="n"/>
      <c r="O3" s="30" t="n"/>
      <c r="P3" s="30" t="n"/>
    </row>
    <row r="4">
      <c r="A4" s="30" t="inlineStr">
        <is>
          <t>Electricity per shot</t>
        </is>
      </c>
      <c r="B4" s="36">
        <f>(Inputs!B9*Inputs!B11+Inputs!B10*Inputs!B12)/1000/3600*Inputs!B8</f>
        <v/>
      </c>
      <c r="C4" s="30" t="n"/>
      <c r="D4" s="30" t="n"/>
      <c r="E4" s="30" t="n"/>
      <c r="F4" s="30" t="n"/>
      <c r="G4" s="30" t="n"/>
      <c r="H4" s="30" t="n"/>
      <c r="I4" s="30" t="n"/>
      <c r="J4" s="30" t="n"/>
      <c r="K4" s="30" t="n"/>
      <c r="L4" s="30" t="n"/>
      <c r="M4" s="30" t="n"/>
      <c r="N4" s="30" t="n"/>
      <c r="O4" s="30" t="n"/>
      <c r="P4" s="30" t="n"/>
    </row>
    <row r="5">
      <c r="A5" s="30" t="inlineStr">
        <is>
          <t>Labor per shot</t>
        </is>
      </c>
      <c r="B5" s="36">
        <f>Inputs!B15/Inputs!B16</f>
        <v/>
      </c>
      <c r="C5" s="30" t="n"/>
      <c r="D5" s="30" t="n"/>
      <c r="E5" s="30" t="n"/>
      <c r="F5" s="30" t="n"/>
      <c r="G5" s="30" t="n"/>
      <c r="H5" s="30" t="n"/>
      <c r="I5" s="30" t="n"/>
      <c r="J5" s="30" t="n"/>
      <c r="K5" s="30" t="n"/>
      <c r="L5" s="30" t="n"/>
      <c r="M5" s="30" t="n"/>
      <c r="N5" s="30" t="n"/>
      <c r="O5" s="30" t="n"/>
      <c r="P5" s="30" t="n"/>
    </row>
    <row r="6">
      <c r="A6" s="37" t="inlineStr">
        <is>
          <t>TOTAL cost per shot</t>
        </is>
      </c>
      <c r="B6" s="38">
        <f>SUM(B3:B5)</f>
        <v/>
      </c>
      <c r="C6" s="30" t="n"/>
      <c r="D6" s="30" t="n"/>
      <c r="E6" s="30" t="n"/>
      <c r="F6" s="30" t="n"/>
      <c r="G6" s="30" t="n"/>
      <c r="H6" s="30" t="n"/>
      <c r="I6" s="30" t="n"/>
      <c r="J6" s="30" t="n"/>
      <c r="K6" s="30" t="n"/>
      <c r="L6" s="30" t="n"/>
      <c r="M6" s="30" t="n"/>
      <c r="N6" s="30" t="n"/>
      <c r="O6" s="30" t="n"/>
      <c r="P6" s="30" t="n"/>
    </row>
    <row r="7">
      <c r="A7" s="30" t="n"/>
      <c r="B7" s="30" t="n"/>
      <c r="C7" s="30" t="n"/>
      <c r="D7" s="30" t="n"/>
      <c r="E7" s="30" t="n"/>
      <c r="F7" s="30" t="n"/>
      <c r="G7" s="30" t="n"/>
      <c r="H7" s="30" t="n"/>
      <c r="I7" s="30" t="n"/>
      <c r="J7" s="30" t="n"/>
      <c r="K7" s="30" t="n"/>
      <c r="L7" s="30" t="n"/>
      <c r="M7" s="30" t="n"/>
      <c r="N7" s="30" t="n"/>
      <c r="O7" s="30" t="n"/>
      <c r="P7" s="30" t="n"/>
    </row>
    <row r="8">
      <c r="A8" s="30" t="n"/>
      <c r="B8" s="30" t="n"/>
      <c r="C8" s="30" t="n"/>
      <c r="D8" s="30" t="n"/>
      <c r="E8" s="30" t="n"/>
      <c r="F8" s="30" t="n"/>
      <c r="G8" s="30" t="n"/>
      <c r="H8" s="30" t="n"/>
      <c r="I8" s="30" t="n"/>
      <c r="J8" s="30" t="n"/>
      <c r="K8" s="30" t="n"/>
      <c r="L8" s="30" t="n"/>
      <c r="M8" s="30" t="n"/>
      <c r="N8" s="30" t="n"/>
      <c r="O8" s="30" t="n"/>
      <c r="P8" s="30" t="n"/>
    </row>
    <row r="9">
      <c r="A9" s="32" t="inlineStr">
        <is>
          <t>Product Profitability — before any discount</t>
        </is>
      </c>
      <c r="B9" s="30" t="n"/>
      <c r="C9" s="30" t="n"/>
      <c r="D9" s="30" t="n"/>
      <c r="E9" s="30" t="n"/>
      <c r="F9" s="30" t="n"/>
      <c r="G9" s="30" t="n"/>
      <c r="H9" s="30" t="n"/>
      <c r="I9" s="30" t="n"/>
      <c r="J9" s="30" t="n"/>
      <c r="K9" s="30" t="n"/>
      <c r="L9" s="30" t="n"/>
      <c r="M9" s="30" t="n"/>
      <c r="N9" s="30" t="n"/>
      <c r="O9" s="30" t="n"/>
      <c r="P9" s="30" t="n"/>
    </row>
    <row r="10">
      <c r="A10" s="30" t="n"/>
      <c r="B10" s="30" t="n"/>
      <c r="C10" s="30" t="n"/>
      <c r="D10" s="30" t="n"/>
      <c r="E10" s="30" t="n"/>
      <c r="F10" s="30" t="n"/>
      <c r="G10" s="30" t="n"/>
      <c r="H10" s="30" t="n"/>
      <c r="I10" s="30" t="n"/>
      <c r="J10" s="30" t="n"/>
      <c r="K10" s="30" t="n"/>
      <c r="L10" s="30" t="n"/>
      <c r="M10" s="30" t="n"/>
      <c r="N10" s="30" t="n"/>
      <c r="O10" s="30" t="n"/>
      <c r="P10" s="30" t="n"/>
    </row>
    <row r="11" ht="34" customHeight="1">
      <c r="A11" s="40" t="inlineStr">
        <is>
          <t>Product</t>
        </is>
      </c>
      <c r="B11" s="40" t="inlineStr">
        <is>
          <t>Shots</t>
        </is>
      </c>
      <c r="C11" s="40" t="inlineStr">
        <is>
          <t>Bottle</t>
        </is>
      </c>
      <c r="D11" s="40" t="inlineStr">
        <is>
          <t>Deco</t>
        </is>
      </c>
      <c r="E11" s="40" t="inlineStr">
        <is>
          <t>Beans</t>
        </is>
      </c>
      <c r="F11" s="40" t="inlineStr">
        <is>
          <t>Electricity</t>
        </is>
      </c>
      <c r="G11" s="40" t="inlineStr">
        <is>
          <t>Labor</t>
        </is>
      </c>
      <c r="H11" s="40" t="inlineStr">
        <is>
          <t>Total Cost</t>
        </is>
      </c>
      <c r="I11" s="40" t="inlineStr">
        <is>
          <t>Sell Price</t>
        </is>
      </c>
      <c r="J11" s="40" t="inlineStr">
        <is>
          <t>Profit</t>
        </is>
      </c>
      <c r="K11" s="40" t="inlineStr">
        <is>
          <t>Margin %</t>
        </is>
      </c>
      <c r="L11" s="40" t="inlineStr">
        <is>
          <t>Markup %</t>
        </is>
      </c>
      <c r="M11" s="40" t="inlineStr">
        <is>
          <t>Max safe discount %</t>
        </is>
      </c>
      <c r="N11" s="40" t="inlineStr">
        <is>
          <t>Price at that discount</t>
        </is>
      </c>
      <c r="O11" s="40" t="inlineStr">
        <is>
          <t>Break-even unit uplift</t>
        </is>
      </c>
      <c r="P11" s="30" t="n"/>
    </row>
    <row r="12">
      <c r="A12" s="30" t="inlineStr">
        <is>
          <t>Aconchego Starter</t>
        </is>
      </c>
      <c r="B12" s="41">
        <f>Inputs!$B$68</f>
        <v/>
      </c>
      <c r="C12" s="42">
        <f>Inputs!$B$19</f>
        <v/>
      </c>
      <c r="D12" s="42">
        <f>Inputs!$B$25</f>
        <v/>
      </c>
      <c r="E12" s="42">
        <f>B12*$B$3</f>
        <v/>
      </c>
      <c r="F12" s="42">
        <f>B12*$B$4</f>
        <v/>
      </c>
      <c r="G12" s="42">
        <f>B12*$B$5</f>
        <v/>
      </c>
      <c r="H12" s="42">
        <f>C12+D12+E12+F12+G12</f>
        <v/>
      </c>
      <c r="I12" s="42">
        <f>Inputs!$B$65</f>
        <v/>
      </c>
      <c r="J12" s="42">
        <f>I12-H12</f>
        <v/>
      </c>
      <c r="K12" s="43">
        <f>IF(I12=0,0,J12/I12)</f>
        <v/>
      </c>
      <c r="L12" s="43">
        <f>IF(H12=0,0,J12/H12)</f>
        <v/>
      </c>
      <c r="M12" s="44">
        <f>1-H12/(I12*(1-Inputs!$B$53))</f>
        <v/>
      </c>
      <c r="N12" s="45">
        <f>I12*(1-M12)</f>
        <v/>
      </c>
      <c r="O12" s="44">
        <f>IF((N12-H12)&lt;=0,"n/a",J12/(N12-H12)-1)</f>
        <v/>
      </c>
      <c r="P12" s="30" t="n"/>
    </row>
    <row r="13">
      <c r="A13" s="30" t="inlineStr">
        <is>
          <t>Aconchego Classic</t>
        </is>
      </c>
      <c r="B13" s="41">
        <f>Inputs!$B$69</f>
        <v/>
      </c>
      <c r="C13" s="42">
        <f>Inputs!$B$20</f>
        <v/>
      </c>
      <c r="D13" s="42">
        <f>Inputs!$B$26</f>
        <v/>
      </c>
      <c r="E13" s="42">
        <f>B13*$B$3</f>
        <v/>
      </c>
      <c r="F13" s="42">
        <f>B13*$B$4</f>
        <v/>
      </c>
      <c r="G13" s="42">
        <f>B13*$B$5</f>
        <v/>
      </c>
      <c r="H13" s="42">
        <f>C13+D13+E13+F13+G13</f>
        <v/>
      </c>
      <c r="I13" s="42">
        <f>Inputs!$B$66</f>
        <v/>
      </c>
      <c r="J13" s="42">
        <f>I13-H13</f>
        <v/>
      </c>
      <c r="K13" s="43">
        <f>IF(I13=0,0,J13/I13)</f>
        <v/>
      </c>
      <c r="L13" s="43">
        <f>IF(H13=0,0,J13/H13)</f>
        <v/>
      </c>
      <c r="M13" s="44">
        <f>1-H13/(I13*(1-Inputs!$B$53))</f>
        <v/>
      </c>
      <c r="N13" s="45">
        <f>I13*(1-M13)</f>
        <v/>
      </c>
      <c r="O13" s="44">
        <f>IF((N13-H13)&lt;=0,"n/a",J13/(N13-H13)-1)</f>
        <v/>
      </c>
      <c r="P13" s="30" t="n"/>
    </row>
    <row r="14">
      <c r="A14" s="30" t="inlineStr">
        <is>
          <t>Aconchego Reserve</t>
        </is>
      </c>
      <c r="B14" s="41">
        <f>Inputs!$B$70</f>
        <v/>
      </c>
      <c r="C14" s="42">
        <f>Inputs!$B$21</f>
        <v/>
      </c>
      <c r="D14" s="42">
        <f>Inputs!$B$26</f>
        <v/>
      </c>
      <c r="E14" s="42">
        <f>B14*$B$3</f>
        <v/>
      </c>
      <c r="F14" s="42">
        <f>B14*$B$4</f>
        <v/>
      </c>
      <c r="G14" s="42">
        <f>B14*$B$5</f>
        <v/>
      </c>
      <c r="H14" s="42">
        <f>C14+D14+E14+F14+G14</f>
        <v/>
      </c>
      <c r="I14" s="42">
        <f>Inputs!$B$67</f>
        <v/>
      </c>
      <c r="J14" s="42">
        <f>I14-H14</f>
        <v/>
      </c>
      <c r="K14" s="43">
        <f>IF(I14=0,0,J14/I14)</f>
        <v/>
      </c>
      <c r="L14" s="43">
        <f>IF(H14=0,0,J14/H14)</f>
        <v/>
      </c>
      <c r="M14" s="44">
        <f>1-H14/(I14*(1-Inputs!$B$53))</f>
        <v/>
      </c>
      <c r="N14" s="45">
        <f>I14*(1-M14)</f>
        <v/>
      </c>
      <c r="O14" s="44">
        <f>IF((N14-H14)&lt;=0,"n/a",J14/(N14-H14)-1)</f>
        <v/>
      </c>
      <c r="P14" s="30" t="n"/>
    </row>
    <row r="15">
      <c r="A15" s="46" t="inlineStr">
        <is>
          <t>Profit above is per-bottle unit economics; shipping is per-order (see below). The three highlighted columns are the guardrail: at the margin floor set on Inputs, that is the deepest discount each product can carry, and the extra volume it must produce just to stand still.</t>
        </is>
      </c>
      <c r="P15" s="30" t="n"/>
    </row>
    <row r="16">
      <c r="P16" s="30" t="n"/>
    </row>
    <row r="17">
      <c r="A17" s="30" t="n"/>
      <c r="B17" s="30" t="n"/>
      <c r="C17" s="30" t="n"/>
      <c r="D17" s="30" t="n"/>
      <c r="E17" s="30" t="n"/>
      <c r="F17" s="30" t="n"/>
      <c r="G17" s="30" t="n"/>
      <c r="H17" s="30" t="n"/>
      <c r="I17" s="30" t="n"/>
      <c r="J17" s="30" t="n"/>
      <c r="K17" s="30" t="n"/>
      <c r="L17" s="30" t="n"/>
      <c r="M17" s="30" t="n"/>
      <c r="N17" s="30" t="n"/>
      <c r="O17" s="30" t="n"/>
      <c r="P17" s="30" t="n"/>
    </row>
    <row r="18">
      <c r="A18" s="32" t="inlineStr">
        <is>
          <t>Monthly Projection — BEFORE vouchers</t>
        </is>
      </c>
      <c r="B18" s="30" t="n"/>
      <c r="C18" s="30" t="n"/>
      <c r="D18" s="30" t="n"/>
      <c r="E18" s="30" t="n"/>
      <c r="F18" s="30" t="n"/>
      <c r="G18" s="30" t="n"/>
      <c r="H18" s="30" t="n"/>
      <c r="I18" s="30" t="n"/>
      <c r="J18" s="30" t="n"/>
      <c r="K18" s="30" t="n"/>
      <c r="L18" s="30" t="n"/>
      <c r="M18" s="30" t="n"/>
      <c r="N18" s="30" t="n"/>
      <c r="O18" s="30" t="n"/>
      <c r="P18" s="30" t="n"/>
    </row>
    <row r="19" ht="34" customHeight="1">
      <c r="A19" s="40" t="inlineStr">
        <is>
          <t>Product</t>
        </is>
      </c>
      <c r="B19" s="40" t="inlineStr">
        <is>
          <t>Units / month</t>
        </is>
      </c>
      <c r="C19" s="40" t="inlineStr">
        <is>
          <t>Revenue</t>
        </is>
      </c>
      <c r="D19" s="40" t="inlineStr">
        <is>
          <t>COGS</t>
        </is>
      </c>
      <c r="E19" s="40" t="inlineStr">
        <is>
          <t>Gross Profit</t>
        </is>
      </c>
      <c r="F19" s="30" t="n"/>
      <c r="G19" s="30" t="n"/>
      <c r="H19" s="30" t="n"/>
      <c r="I19" s="30" t="n"/>
      <c r="J19" s="30" t="n"/>
      <c r="K19" s="30" t="n"/>
      <c r="L19" s="30" t="n"/>
      <c r="M19" s="30" t="n"/>
      <c r="N19" s="30" t="n"/>
      <c r="O19" s="30" t="n"/>
      <c r="P19" s="30" t="n"/>
    </row>
    <row r="20">
      <c r="A20" s="30">
        <f>A12</f>
        <v/>
      </c>
      <c r="B20" s="41">
        <f>Inputs!$B$60</f>
        <v/>
      </c>
      <c r="C20" s="42">
        <f>B20*I12</f>
        <v/>
      </c>
      <c r="D20" s="42">
        <f>B20*H12</f>
        <v/>
      </c>
      <c r="E20" s="42">
        <f>C20-D20</f>
        <v/>
      </c>
      <c r="F20" s="30" t="n"/>
      <c r="G20" s="30" t="n"/>
      <c r="H20" s="30" t="n"/>
      <c r="I20" s="30" t="n"/>
      <c r="J20" s="30" t="n"/>
      <c r="K20" s="30" t="n"/>
      <c r="L20" s="30" t="n"/>
      <c r="M20" s="30" t="n"/>
      <c r="N20" s="30" t="n"/>
      <c r="O20" s="30" t="n"/>
      <c r="P20" s="30" t="n"/>
    </row>
    <row r="21">
      <c r="A21" s="30">
        <f>A13</f>
        <v/>
      </c>
      <c r="B21" s="41">
        <f>Inputs!$B$61</f>
        <v/>
      </c>
      <c r="C21" s="42">
        <f>B21*I13</f>
        <v/>
      </c>
      <c r="D21" s="42">
        <f>B21*H13</f>
        <v/>
      </c>
      <c r="E21" s="42">
        <f>C21-D21</f>
        <v/>
      </c>
      <c r="F21" s="30" t="n"/>
      <c r="G21" s="30" t="n"/>
      <c r="H21" s="30" t="n"/>
      <c r="I21" s="30" t="n"/>
      <c r="J21" s="30" t="n"/>
      <c r="K21" s="30" t="n"/>
      <c r="L21" s="30" t="n"/>
      <c r="M21" s="30" t="n"/>
      <c r="N21" s="30" t="n"/>
      <c r="O21" s="30" t="n"/>
      <c r="P21" s="30" t="n"/>
    </row>
    <row r="22">
      <c r="A22" s="30">
        <f>A14</f>
        <v/>
      </c>
      <c r="B22" s="41">
        <f>Inputs!$B$62</f>
        <v/>
      </c>
      <c r="C22" s="42">
        <f>B22*I14</f>
        <v/>
      </c>
      <c r="D22" s="42">
        <f>B22*H14</f>
        <v/>
      </c>
      <c r="E22" s="42">
        <f>C22-D22</f>
        <v/>
      </c>
      <c r="F22" s="30" t="n"/>
      <c r="G22" s="30" t="n"/>
      <c r="H22" s="30" t="n"/>
      <c r="I22" s="30" t="n"/>
      <c r="J22" s="30" t="n"/>
      <c r="K22" s="30" t="n"/>
      <c r="L22" s="30" t="n"/>
      <c r="M22" s="30" t="n"/>
      <c r="N22" s="30" t="n"/>
      <c r="O22" s="30" t="n"/>
      <c r="P22" s="30" t="n"/>
    </row>
    <row r="23">
      <c r="A23" s="37" t="inlineStr">
        <is>
          <t>Subtotal</t>
        </is>
      </c>
      <c r="B23" s="47">
        <f>SUM(B20:B22)</f>
        <v/>
      </c>
      <c r="C23" s="48">
        <f>SUM(C20:C22)</f>
        <v/>
      </c>
      <c r="D23" s="48">
        <f>SUM(D20:D22)</f>
        <v/>
      </c>
      <c r="E23" s="48">
        <f>SUM(E20:E22)</f>
        <v/>
      </c>
      <c r="F23" s="30" t="n"/>
      <c r="G23" s="30" t="n"/>
      <c r="H23" s="30" t="n"/>
      <c r="I23" s="30" t="n"/>
      <c r="J23" s="30" t="n"/>
      <c r="K23" s="30" t="n"/>
      <c r="L23" s="30" t="n"/>
      <c r="M23" s="30" t="n"/>
      <c r="N23" s="30" t="n"/>
      <c r="O23" s="30" t="n"/>
      <c r="P23" s="30" t="n"/>
    </row>
    <row r="24">
      <c r="A24" s="30" t="n"/>
      <c r="B24" s="30" t="n"/>
      <c r="C24" s="30" t="n"/>
      <c r="D24" s="30" t="n"/>
      <c r="E24" s="30" t="n"/>
      <c r="F24" s="30" t="n"/>
      <c r="G24" s="30" t="n"/>
      <c r="H24" s="30" t="n"/>
      <c r="I24" s="30" t="n"/>
      <c r="J24" s="30" t="n"/>
      <c r="K24" s="30" t="n"/>
      <c r="L24" s="30" t="n"/>
      <c r="M24" s="30" t="n"/>
      <c r="N24" s="30" t="n"/>
      <c r="O24" s="30" t="n"/>
      <c r="P24" s="30" t="n"/>
    </row>
    <row r="25">
      <c r="A25" s="32" t="inlineStr">
        <is>
          <t>Shipping — Lalamove pass-through, subsidies capped</t>
        </is>
      </c>
      <c r="B25" s="30" t="n"/>
      <c r="C25" s="30" t="n"/>
      <c r="D25" s="30" t="n"/>
      <c r="E25" s="30" t="n"/>
      <c r="F25" s="30" t="n"/>
      <c r="G25" s="30" t="n"/>
      <c r="H25" s="30" t="n"/>
      <c r="I25" s="30" t="n"/>
      <c r="J25" s="30" t="n"/>
      <c r="K25" s="30" t="n"/>
      <c r="L25" s="30" t="n"/>
      <c r="M25" s="30" t="n"/>
      <c r="N25" s="30" t="n"/>
      <c r="O25" s="30" t="n"/>
      <c r="P25" s="30" t="n"/>
    </row>
    <row r="26">
      <c r="A26" s="30" t="inlineStr">
        <is>
          <t>Total units / month</t>
        </is>
      </c>
      <c r="B26" s="49">
        <f>B23</f>
        <v/>
      </c>
      <c r="C26" s="30" t="n"/>
      <c r="D26" s="30" t="n"/>
      <c r="E26" s="30" t="n"/>
      <c r="F26" s="30" t="n"/>
      <c r="G26" s="30" t="n"/>
      <c r="H26" s="30" t="n"/>
      <c r="I26" s="30" t="n"/>
      <c r="J26" s="30" t="n"/>
      <c r="K26" s="30" t="n"/>
      <c r="L26" s="30" t="n"/>
      <c r="M26" s="30" t="n"/>
      <c r="N26" s="30" t="n"/>
      <c r="O26" s="30" t="n"/>
      <c r="P26" s="30" t="n"/>
    </row>
    <row r="27">
      <c r="A27" s="30" t="inlineStr">
        <is>
          <t>Orders / month</t>
        </is>
      </c>
      <c r="B27" s="50">
        <f>B26/Inputs!$B$35</f>
        <v/>
      </c>
      <c r="C27" s="30" t="n"/>
      <c r="D27" s="30" t="n"/>
      <c r="E27" s="30" t="n"/>
      <c r="F27" s="30" t="n"/>
      <c r="G27" s="30" t="n"/>
      <c r="H27" s="30" t="n"/>
      <c r="I27" s="30" t="n"/>
      <c r="J27" s="30" t="n"/>
      <c r="K27" s="30" t="n"/>
      <c r="L27" s="30" t="n"/>
      <c r="M27" s="30" t="n"/>
      <c r="N27" s="30" t="n"/>
      <c r="O27" s="30" t="n"/>
      <c r="P27" s="30" t="n"/>
    </row>
    <row r="28">
      <c r="A28" s="30" t="inlineStr">
        <is>
          <t>Avg order value</t>
        </is>
      </c>
      <c r="B28" s="36">
        <f>IF(B27=0,0,C23/B27)</f>
        <v/>
      </c>
      <c r="C28" s="30" t="n"/>
      <c r="D28" s="30" t="n"/>
      <c r="E28" s="30" t="n"/>
      <c r="F28" s="30" t="n"/>
      <c r="G28" s="30" t="n"/>
      <c r="H28" s="30" t="n"/>
      <c r="I28" s="30" t="n"/>
      <c r="J28" s="30" t="n"/>
      <c r="K28" s="30" t="n"/>
      <c r="L28" s="30" t="n"/>
      <c r="M28" s="30" t="n"/>
      <c r="N28" s="30" t="n"/>
      <c r="O28" s="30" t="n"/>
      <c r="P28" s="30" t="n"/>
    </row>
    <row r="29">
      <c r="A29" s="30" t="inlineStr">
        <is>
          <t>Orders reaching the free-ship minimum</t>
        </is>
      </c>
      <c r="B29" s="50">
        <f>B27*Inputs!$B$41</f>
        <v/>
      </c>
      <c r="C29" s="31" t="inlineStr">
        <is>
          <t>these ship free by default — no voucher involved</t>
        </is>
      </c>
      <c r="D29" s="30" t="n"/>
      <c r="E29" s="30" t="n"/>
      <c r="F29" s="30" t="n"/>
      <c r="G29" s="30" t="n"/>
      <c r="H29" s="30" t="n"/>
      <c r="I29" s="30" t="n"/>
      <c r="J29" s="30" t="n"/>
      <c r="K29" s="30" t="n"/>
      <c r="L29" s="30" t="n"/>
      <c r="M29" s="30" t="n"/>
      <c r="N29" s="30" t="n"/>
      <c r="O29" s="30" t="n"/>
      <c r="P29" s="30" t="n"/>
    </row>
    <row r="30">
      <c r="A30" s="30" t="inlineStr">
        <is>
          <t>Shipping markup collected</t>
        </is>
      </c>
      <c r="B30" s="36">
        <f>(B27-B29)*Inputs!$B$34</f>
        <v/>
      </c>
      <c r="C30" s="31" t="inlineStr">
        <is>
          <t>zero while the markup on Inputs is zero</t>
        </is>
      </c>
      <c r="D30" s="30" t="n"/>
      <c r="E30" s="30" t="n"/>
      <c r="F30" s="30" t="n"/>
      <c r="G30" s="30" t="n"/>
      <c r="H30" s="30" t="n"/>
      <c r="I30" s="30" t="n"/>
      <c r="J30" s="30" t="n"/>
      <c r="K30" s="30" t="n"/>
      <c r="L30" s="30" t="n"/>
      <c r="M30" s="30" t="n"/>
      <c r="N30" s="30" t="n"/>
      <c r="O30" s="30" t="n"/>
      <c r="P30" s="30" t="n"/>
    </row>
    <row r="31">
      <c r="A31" s="30" t="inlineStr">
        <is>
          <t>Default free-shipping subsidy (capped)</t>
        </is>
      </c>
      <c r="B31" s="36">
        <f>B29*Inputs!$B$46</f>
        <v/>
      </c>
      <c r="C31" s="30" t="n"/>
      <c r="D31" s="30" t="n"/>
      <c r="E31" s="30" t="n"/>
      <c r="F31" s="30" t="n"/>
      <c r="G31" s="30" t="n"/>
      <c r="H31" s="30" t="n"/>
      <c r="I31" s="30" t="n"/>
      <c r="J31" s="30" t="n"/>
      <c r="K31" s="30" t="n"/>
      <c r="L31" s="30" t="n"/>
      <c r="M31" s="30" t="n"/>
      <c r="N31" s="30" t="n"/>
      <c r="O31" s="30" t="n"/>
      <c r="P31" s="30" t="n"/>
    </row>
    <row r="32">
      <c r="A32" s="30" t="inlineStr">
        <is>
          <t>Net shipping result</t>
        </is>
      </c>
      <c r="B32" s="36">
        <f>B30-B31</f>
        <v/>
      </c>
      <c r="C32" s="31" t="inlineStr">
        <is>
          <t>negative = shipping is a cost centre</t>
        </is>
      </c>
      <c r="D32" s="30" t="n"/>
      <c r="E32" s="30" t="n"/>
      <c r="F32" s="30" t="n"/>
      <c r="G32" s="30" t="n"/>
      <c r="H32" s="30" t="n"/>
      <c r="I32" s="30" t="n"/>
      <c r="J32" s="30" t="n"/>
      <c r="K32" s="30" t="n"/>
      <c r="L32" s="30" t="n"/>
      <c r="M32" s="30" t="n"/>
      <c r="N32" s="30" t="n"/>
      <c r="O32" s="30" t="n"/>
      <c r="P32" s="30" t="n"/>
    </row>
    <row r="33">
      <c r="A33" s="30" t="inlineStr">
        <is>
          <t>Other monthly expenses</t>
        </is>
      </c>
      <c r="B33" s="36">
        <f>'Other Expenses'!D16</f>
        <v/>
      </c>
      <c r="C33" s="31" t="inlineStr">
        <is>
          <t>from the Other Expenses tracker — 0 until quantities are filled in</t>
        </is>
      </c>
      <c r="D33" s="30" t="n"/>
      <c r="E33" s="30" t="n"/>
      <c r="F33" s="30" t="n"/>
      <c r="G33" s="30" t="n"/>
      <c r="H33" s="30" t="n"/>
      <c r="I33" s="30" t="n"/>
      <c r="J33" s="30" t="n"/>
      <c r="K33" s="30" t="n"/>
      <c r="L33" s="30" t="n"/>
      <c r="M33" s="30" t="n"/>
      <c r="N33" s="30" t="n"/>
      <c r="O33" s="30" t="n"/>
      <c r="P33" s="30" t="n"/>
    </row>
    <row r="34">
      <c r="A34" s="37" t="inlineStr">
        <is>
          <t>NET PROFIT / month (before vouchers)</t>
        </is>
      </c>
      <c r="B34" s="38">
        <f>E23+B32-B33</f>
        <v/>
      </c>
      <c r="C34" s="31" t="inlineStr">
        <is>
          <t>the baseline every promo is measured against</t>
        </is>
      </c>
      <c r="D34" s="30" t="n"/>
      <c r="E34" s="30" t="n"/>
      <c r="F34" s="30" t="n"/>
      <c r="G34" s="30" t="n"/>
      <c r="H34" s="30" t="n"/>
      <c r="I34" s="30" t="n"/>
      <c r="J34" s="30" t="n"/>
      <c r="K34" s="30" t="n"/>
      <c r="L34" s="30" t="n"/>
      <c r="M34" s="30" t="n"/>
      <c r="N34" s="30" t="n"/>
      <c r="O34" s="30" t="n"/>
      <c r="P34" s="30" t="n"/>
    </row>
    <row r="35">
      <c r="A35" s="30" t="inlineStr">
        <is>
          <t>Gross margin %</t>
        </is>
      </c>
      <c r="B35" s="51">
        <f>IF(C23=0,0,E23/C23)</f>
        <v/>
      </c>
      <c r="C35" s="30" t="n"/>
      <c r="D35" s="30" t="n"/>
      <c r="E35" s="30" t="n"/>
      <c r="F35" s="30" t="n"/>
      <c r="G35" s="30" t="n"/>
      <c r="H35" s="30" t="n"/>
      <c r="I35" s="30" t="n"/>
      <c r="J35" s="30" t="n"/>
      <c r="K35" s="30" t="n"/>
      <c r="L35" s="30" t="n"/>
      <c r="M35" s="30" t="n"/>
      <c r="N35" s="30" t="n"/>
      <c r="O35" s="30" t="n"/>
      <c r="P35" s="30" t="n"/>
    </row>
    <row r="36">
      <c r="A36" s="30" t="inlineStr">
        <is>
          <t>COGS as % of revenue</t>
        </is>
      </c>
      <c r="B36" s="51">
        <f>IF(C23=0,0,D23/C23)</f>
        <v/>
      </c>
      <c r="C36" s="31" t="inlineStr">
        <is>
          <t>used by the voucher planner</t>
        </is>
      </c>
      <c r="D36" s="30" t="n"/>
      <c r="E36" s="30" t="n"/>
      <c r="F36" s="30" t="n"/>
      <c r="G36" s="30" t="n"/>
      <c r="H36" s="30" t="n"/>
      <c r="I36" s="30" t="n"/>
      <c r="J36" s="30" t="n"/>
      <c r="K36" s="30" t="n"/>
      <c r="L36" s="30" t="n"/>
      <c r="M36" s="30" t="n"/>
      <c r="N36" s="30" t="n"/>
      <c r="O36" s="30" t="n"/>
      <c r="P36" s="30" t="n"/>
    </row>
    <row r="37">
      <c r="A37" s="30" t="n"/>
      <c r="B37" s="30" t="n"/>
      <c r="C37" s="30" t="n"/>
      <c r="D37" s="30" t="n"/>
      <c r="E37" s="30" t="n"/>
      <c r="F37" s="30" t="n"/>
      <c r="G37" s="30" t="n"/>
      <c r="H37" s="30" t="n"/>
      <c r="I37" s="30" t="n"/>
      <c r="J37" s="30" t="n"/>
      <c r="K37" s="30" t="n"/>
      <c r="L37" s="30" t="n"/>
      <c r="M37" s="30" t="n"/>
      <c r="N37" s="30" t="n"/>
      <c r="O37" s="30" t="n"/>
      <c r="P37" s="30" t="n"/>
    </row>
    <row r="38">
      <c r="A38" s="46" t="inlineStr">
        <is>
          <t>Shipping used to be modelled as a flat ₱171 charge against a ₱150 courier cost — a quiet +₱21 per order, ₱3,150 a month of "profit" that only existed because the fee was a guess. With Lalamove quoting the real charge, shipping is pass-through: it earns the markup on Inputs (₱0 today) and costs whatever subsidy the free-shipping rules hand out. Set a markup above zero if you intend shipping to contribute again.</t>
        </is>
      </c>
      <c r="P38" s="30" t="n"/>
    </row>
    <row r="39">
      <c r="P39" s="30" t="n"/>
    </row>
    <row r="40">
      <c r="A40" s="30" t="n"/>
      <c r="B40" s="30" t="n"/>
      <c r="C40" s="30" t="n"/>
      <c r="D40" s="30" t="n"/>
      <c r="E40" s="30" t="n"/>
      <c r="F40" s="30" t="n"/>
      <c r="G40" s="30" t="n"/>
      <c r="H40" s="30" t="n"/>
      <c r="I40" s="30" t="n"/>
      <c r="J40" s="30" t="n"/>
      <c r="K40" s="30" t="n"/>
      <c r="L40" s="30" t="n"/>
      <c r="M40" s="30" t="n"/>
      <c r="N40" s="30" t="n"/>
      <c r="O40" s="30" t="n"/>
      <c r="P40" s="30" t="n"/>
    </row>
    <row r="41">
      <c r="A41" s="30" t="n"/>
      <c r="B41" s="30" t="n"/>
      <c r="C41" s="30" t="n"/>
      <c r="D41" s="30" t="n"/>
      <c r="E41" s="30" t="n"/>
      <c r="F41" s="30" t="n"/>
      <c r="G41" s="30" t="n"/>
      <c r="H41" s="30" t="n"/>
      <c r="I41" s="30" t="n"/>
      <c r="J41" s="30" t="n"/>
      <c r="K41" s="30" t="n"/>
      <c r="L41" s="30" t="n"/>
      <c r="M41" s="30" t="n"/>
      <c r="N41" s="30" t="n"/>
      <c r="O41" s="30" t="n"/>
      <c r="P41" s="30" t="n"/>
    </row>
    <row r="42">
      <c r="A42" s="30" t="n"/>
      <c r="B42" s="30" t="n"/>
      <c r="C42" s="30" t="n"/>
      <c r="D42" s="30" t="n"/>
      <c r="E42" s="30" t="n"/>
      <c r="F42" s="30" t="n"/>
      <c r="G42" s="30" t="n"/>
      <c r="H42" s="30" t="n"/>
      <c r="I42" s="30" t="n"/>
      <c r="J42" s="30" t="n"/>
      <c r="K42" s="30" t="n"/>
      <c r="L42" s="30" t="n"/>
      <c r="M42" s="30" t="n"/>
      <c r="N42" s="30" t="n"/>
      <c r="O42" s="30" t="n"/>
      <c r="P42" s="30" t="n"/>
    </row>
    <row r="43">
      <c r="A43" s="30" t="n"/>
      <c r="B43" s="30" t="n"/>
      <c r="C43" s="30" t="n"/>
      <c r="D43" s="30" t="n"/>
      <c r="E43" s="30" t="n"/>
      <c r="F43" s="30" t="n"/>
      <c r="G43" s="30" t="n"/>
      <c r="H43" s="30" t="n"/>
      <c r="I43" s="30" t="n"/>
      <c r="J43" s="30" t="n"/>
      <c r="K43" s="30" t="n"/>
      <c r="L43" s="30" t="n"/>
      <c r="M43" s="30" t="n"/>
      <c r="N43" s="30" t="n"/>
      <c r="O43" s="30" t="n"/>
      <c r="P43" s="30" t="n"/>
    </row>
    <row r="44">
      <c r="A44" s="30" t="n"/>
      <c r="B44" s="30" t="n"/>
      <c r="C44" s="30" t="n"/>
      <c r="D44" s="30" t="n"/>
      <c r="E44" s="30" t="n"/>
      <c r="F44" s="30" t="n"/>
      <c r="G44" s="30" t="n"/>
      <c r="H44" s="30" t="n"/>
      <c r="I44" s="30" t="n"/>
      <c r="J44" s="30" t="n"/>
      <c r="K44" s="30" t="n"/>
      <c r="L44" s="30" t="n"/>
      <c r="M44" s="30" t="n"/>
      <c r="N44" s="30" t="n"/>
      <c r="O44" s="30" t="n"/>
      <c r="P44" s="30" t="n"/>
    </row>
    <row r="45">
      <c r="A45" s="30" t="n"/>
      <c r="B45" s="30" t="n"/>
      <c r="C45" s="30" t="n"/>
      <c r="D45" s="30" t="n"/>
      <c r="E45" s="30" t="n"/>
      <c r="F45" s="30" t="n"/>
      <c r="G45" s="30" t="n"/>
      <c r="H45" s="30" t="n"/>
      <c r="I45" s="30" t="n"/>
      <c r="J45" s="30" t="n"/>
      <c r="K45" s="30" t="n"/>
      <c r="L45" s="30" t="n"/>
      <c r="M45" s="30" t="n"/>
      <c r="N45" s="30" t="n"/>
      <c r="O45" s="30" t="n"/>
      <c r="P45" s="30" t="n"/>
    </row>
  </sheetData>
  <mergeCells count="2">
    <mergeCell ref="A38:O39"/>
    <mergeCell ref="A15:O16"/>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T42"/>
  <sheetViews>
    <sheetView showGridLines="0" workbookViewId="0">
      <selection activeCell="A1" sqref="A1"/>
    </sheetView>
  </sheetViews>
  <sheetFormatPr baseColWidth="8" defaultRowHeight="15"/>
  <cols>
    <col width="34" customWidth="1" min="1" max="1"/>
    <col width="10" customWidth="1" min="2" max="2"/>
    <col width="14" customWidth="1" min="3" max="3"/>
    <col width="9" customWidth="1" min="4" max="4"/>
    <col width="13" customWidth="1" min="5" max="5"/>
    <col width="13" customWidth="1" min="6" max="6"/>
    <col width="13" customWidth="1" min="7" max="7"/>
    <col width="13" customWidth="1" min="8" max="8"/>
    <col width="15" customWidth="1" min="9" max="9"/>
    <col width="15" customWidth="1" min="10" max="10"/>
    <col width="13" customWidth="1" min="11" max="11"/>
    <col width="13" customWidth="1" min="12" max="12"/>
    <col width="12" customWidth="1" min="13" max="13"/>
    <col width="14" customWidth="1" min="14" max="14"/>
    <col width="15" customWidth="1" min="15" max="15"/>
    <col width="16" customWidth="1" min="16" max="16"/>
    <col width="15" customWidth="1" min="17" max="17"/>
    <col width="14" customWidth="1" min="18" max="18"/>
    <col width="15" customWidth="1" min="19" max="19"/>
    <col width="44" customWidth="1" min="20" max="20"/>
  </cols>
  <sheetData>
    <row r="1">
      <c r="A1" s="1" t="inlineStr">
        <is>
          <t>Voucher &amp; Promo Planner</t>
        </is>
      </c>
    </row>
    <row r="2">
      <c r="A2" s="25" t="inlineStr">
        <is>
          <t>One row per campaign. Yellow cells are yours; Verdict applies the guardrails from Inputs. Nothing here changes a price — it says which promos survive a peso-for-peso profit test.</t>
        </is>
      </c>
    </row>
    <row r="4">
      <c r="A4" s="3" t="inlineStr">
        <is>
          <t>Baseline per-order economics (from Analysis)</t>
        </is>
      </c>
    </row>
    <row r="5">
      <c r="A5" s="52" t="inlineStr">
        <is>
          <t>Avg order value (AOV)</t>
        </is>
      </c>
      <c r="B5" s="53">
        <f>Analysis!B28</f>
        <v/>
      </c>
    </row>
    <row r="6">
      <c r="A6" s="52" t="inlineStr">
        <is>
          <t>COGS as % of revenue</t>
        </is>
      </c>
      <c r="B6" s="54">
        <f>Analysis!B36</f>
        <v/>
      </c>
    </row>
    <row r="7">
      <c r="A7" s="52" t="inlineStr">
        <is>
          <t>COGS per order</t>
        </is>
      </c>
      <c r="B7" s="53">
        <f>B5*B6</f>
        <v/>
      </c>
    </row>
    <row r="8">
      <c r="A8" s="52" t="inlineStr">
        <is>
          <t>Shipping result per non-free order</t>
        </is>
      </c>
      <c r="B8" s="53">
        <f>Inputs!$B$34</f>
        <v/>
      </c>
      <c r="C8" s="25" t="inlineStr">
        <is>
          <t>the markup — shipping is otherwise pass-through</t>
        </is>
      </c>
    </row>
    <row r="9">
      <c r="A9" s="55" t="inlineStr">
        <is>
          <t>Contribution per order (before promo)</t>
        </is>
      </c>
      <c r="B9" s="56">
        <f>B5-B7+B8</f>
        <v/>
      </c>
      <c r="C9" s="25" t="inlineStr">
        <is>
          <t>every peso of promo comes straight out of this</t>
        </is>
      </c>
    </row>
    <row r="10">
      <c r="A10" s="52" t="inlineStr">
        <is>
          <t>Orders / month</t>
        </is>
      </c>
      <c r="B10" s="57">
        <f>Analysis!B27</f>
        <v/>
      </c>
    </row>
    <row r="11">
      <c r="A11" s="52" t="inlineStr">
        <is>
          <t>Free-shipping subsidy per redemption (capped)</t>
        </is>
      </c>
      <c r="B11" s="53">
        <f>Inputs!$B$49</f>
        <v/>
      </c>
      <c r="C11" s="25" t="inlineStr">
        <is>
          <t>blended Metro Manila / outside; the cap is on Inputs</t>
        </is>
      </c>
    </row>
    <row r="13">
      <c r="A13" s="3" t="inlineStr">
        <is>
          <t>Max safe discount by product — at the margin floor on Inputs</t>
        </is>
      </c>
    </row>
    <row r="14" ht="34" customHeight="1">
      <c r="A14" s="40" t="inlineStr">
        <is>
          <t>Product</t>
        </is>
      </c>
      <c r="B14" s="40" t="inlineStr">
        <is>
          <t>Sell price</t>
        </is>
      </c>
      <c r="C14" s="40" t="inlineStr">
        <is>
          <t>Unit cost</t>
        </is>
      </c>
      <c r="D14" s="40" t="inlineStr">
        <is>
          <t>Margin now</t>
        </is>
      </c>
      <c r="E14" s="40" t="inlineStr">
        <is>
          <t>Max safe discount %</t>
        </is>
      </c>
      <c r="F14" s="40" t="inlineStr">
        <is>
          <t>Price at that discount</t>
        </is>
      </c>
      <c r="G14" s="40" t="inlineStr">
        <is>
          <t>Break-even unit uplift</t>
        </is>
      </c>
    </row>
    <row r="15">
      <c r="A15" s="52">
        <f>Analysis!A12</f>
        <v/>
      </c>
      <c r="B15" s="42">
        <f>Analysis!I12</f>
        <v/>
      </c>
      <c r="C15" s="42">
        <f>Analysis!H12</f>
        <v/>
      </c>
      <c r="D15" s="43">
        <f>Analysis!K12</f>
        <v/>
      </c>
      <c r="E15" s="44">
        <f>Analysis!M12</f>
        <v/>
      </c>
      <c r="F15" s="45">
        <f>Analysis!N12</f>
        <v/>
      </c>
      <c r="G15" s="44">
        <f>Analysis!O12</f>
        <v/>
      </c>
    </row>
    <row r="16">
      <c r="A16" s="52">
        <f>Analysis!A13</f>
        <v/>
      </c>
      <c r="B16" s="42">
        <f>Analysis!I13</f>
        <v/>
      </c>
      <c r="C16" s="42">
        <f>Analysis!H13</f>
        <v/>
      </c>
      <c r="D16" s="43">
        <f>Analysis!K13</f>
        <v/>
      </c>
      <c r="E16" s="44">
        <f>Analysis!M13</f>
        <v/>
      </c>
      <c r="F16" s="45">
        <f>Analysis!N13</f>
        <v/>
      </c>
      <c r="G16" s="44">
        <f>Analysis!O13</f>
        <v/>
      </c>
    </row>
    <row r="17">
      <c r="A17" s="52">
        <f>Analysis!A14</f>
        <v/>
      </c>
      <c r="B17" s="42">
        <f>Analysis!I14</f>
        <v/>
      </c>
      <c r="C17" s="42">
        <f>Analysis!H14</f>
        <v/>
      </c>
      <c r="D17" s="43">
        <f>Analysis!K14</f>
        <v/>
      </c>
      <c r="E17" s="44">
        <f>Analysis!M14</f>
        <v/>
      </c>
      <c r="F17" s="45">
        <f>Analysis!N14</f>
        <v/>
      </c>
      <c r="G17" s="44">
        <f>Analysis!O14</f>
        <v/>
      </c>
    </row>
    <row r="19">
      <c r="A19" s="3" t="inlineStr">
        <is>
          <t>Campaign planner</t>
        </is>
      </c>
    </row>
    <row r="20">
      <c r="A20" s="25" t="inlineStr">
        <is>
          <t>Edit columns A–G (yellow). H onward is computed.</t>
        </is>
      </c>
    </row>
    <row r="21" ht="34" customHeight="1">
      <c r="A21" s="40" t="inlineStr">
        <is>
          <t>Campaign</t>
        </is>
      </c>
      <c r="B21" s="40" t="inlineStr">
        <is>
          <t>Status</t>
        </is>
      </c>
      <c r="C21" s="40" t="inlineStr">
        <is>
          <t>Type</t>
        </is>
      </c>
      <c r="D21" s="40" t="inlineStr">
        <is>
          <t>Value</t>
        </is>
      </c>
      <c r="E21" s="40" t="inlineStr">
        <is>
          <t>Min spend (₱)</t>
        </is>
      </c>
      <c r="F21" s="40" t="inlineStr">
        <is>
          <t>Redemptions / month</t>
        </is>
      </c>
      <c r="G21" s="40" t="inlineStr">
        <is>
          <t>Campaign AOV (₱)</t>
        </is>
      </c>
      <c r="H21" s="40" t="inlineStr">
        <is>
          <t>Discount ₱ / redemption</t>
        </is>
      </c>
      <c r="I21" s="40" t="inlineStr">
        <is>
          <t>Shipping subsidy — capped</t>
        </is>
      </c>
      <c r="J21" s="40" t="inlineStr">
        <is>
          <t>Subsidy if cap NOT enforced</t>
        </is>
      </c>
      <c r="K21" s="40" t="inlineStr">
        <is>
          <t>Saved by the cap</t>
        </is>
      </c>
      <c r="L21" s="40" t="inlineStr">
        <is>
          <t>Promo cost / redemption</t>
        </is>
      </c>
      <c r="M21" s="40" t="inlineStr">
        <is>
          <t>Effective discount %</t>
        </is>
      </c>
      <c r="N21" s="40" t="inlineStr">
        <is>
          <t>Promo cost as % of order profit</t>
        </is>
      </c>
      <c r="O21" s="40" t="inlineStr">
        <is>
          <t>Total promo cost / month</t>
        </is>
      </c>
      <c r="P21" s="40" t="inlineStr">
        <is>
          <t>Gross revenue from these orders</t>
        </is>
      </c>
      <c r="Q21" s="40" t="inlineStr">
        <is>
          <t>Order contribution after promo</t>
        </is>
      </c>
      <c r="R21" s="40" t="inlineStr">
        <is>
          <t>Product margin after promo</t>
        </is>
      </c>
      <c r="S21" s="40" t="inlineStr">
        <is>
          <t>Break-even extra orders / month</t>
        </is>
      </c>
      <c r="T21" s="40" t="inlineStr">
        <is>
          <t>Verdict</t>
        </is>
      </c>
    </row>
    <row r="22">
      <c r="A22" s="58" t="inlineStr">
        <is>
          <t>Launch10 — 10% off, no minimum</t>
        </is>
      </c>
      <c r="B22" s="58" t="inlineStr">
        <is>
          <t>Active</t>
        </is>
      </c>
      <c r="C22" s="58" t="inlineStr">
        <is>
          <t>% off</t>
        </is>
      </c>
      <c r="D22" s="59" t="n">
        <v>0.1</v>
      </c>
      <c r="E22" s="60" t="n">
        <v>0</v>
      </c>
      <c r="F22" s="61" t="n">
        <v>60</v>
      </c>
      <c r="G22" s="60" t="n">
        <v>598</v>
      </c>
      <c r="H22" s="42">
        <f>IF($B22="Off",0,IF($C22="% off",$D22*$G22,IF($C22="₱ off",MIN($D22,$G22),0)))</f>
        <v/>
      </c>
      <c r="I22" s="62">
        <f>IF($B22="Off",0,IF($C22="Free shipping",IF($G22&gt;=Inputs!$B$38,0,Inputs!$B$49),0))</f>
        <v/>
      </c>
      <c r="J22" s="62">
        <f>IF($B22="Off",0,IF($C22="Free shipping",IF($G22&gt;=Inputs!$B$38,0,Inputs!$B$50),0))</f>
        <v/>
      </c>
      <c r="K22" s="62">
        <f>J22-I22</f>
        <v/>
      </c>
      <c r="L22" s="42">
        <f>H22+I22</f>
        <v/>
      </c>
      <c r="M22" s="43">
        <f>IF($G22=0,0,L22/$G22)</f>
        <v/>
      </c>
      <c r="N22" s="43">
        <f>IF($B$9=0,0,L22/$B$9)</f>
        <v/>
      </c>
      <c r="O22" s="42">
        <f>IF($B22="Active",$F22*L22,0)</f>
        <v/>
      </c>
      <c r="P22" s="42">
        <f>IF($B22="Active",$F22*$G22,0)</f>
        <v/>
      </c>
      <c r="Q22" s="42">
        <f>$G22*(1-$B$6)-H22-I22+IF(I22&gt;0,0,Inputs!$B$34)</f>
        <v/>
      </c>
      <c r="R22" s="43">
        <f>IF(($G22-H22)=0,0,($G22*(1-$B$6)-H22)/($G22-H22))</f>
        <v/>
      </c>
      <c r="S22" s="63">
        <f>IF(Q22&lt;=0,"n/a",O22/Q22)</f>
        <v/>
      </c>
      <c r="T22" s="64">
        <f>IF($B22="Off","—",IF(Q22&lt;0,"STOP — loses money on every order",IF(R22&lt;Inputs!$B$53,"STOP — margin below the floor",IF(AND($C22="Free shipping",$E22&gt;=Inputs!$B$38),"REDUNDANT — these orders already ship free by default",IF(N22&gt;0.5,"CHECK — promo eats &gt;50% of the order's profit",IF($E22&lt;$B$5,"CHECK — min spend &lt;= AOV, subsidises orders you'd get anyway","OK"))))))</f>
        <v/>
      </c>
    </row>
    <row r="23">
      <c r="A23" s="58" t="inlineStr">
        <is>
          <t>Free shipping weekend</t>
        </is>
      </c>
      <c r="B23" s="58" t="inlineStr">
        <is>
          <t>Active</t>
        </is>
      </c>
      <c r="C23" s="58" t="inlineStr">
        <is>
          <t>Free shipping</t>
        </is>
      </c>
      <c r="D23" s="59" t="n">
        <v>0</v>
      </c>
      <c r="E23" s="60" t="n">
        <v>0</v>
      </c>
      <c r="F23" s="61" t="n">
        <v>40</v>
      </c>
      <c r="G23" s="60" t="n">
        <v>598</v>
      </c>
      <c r="H23" s="42">
        <f>IF($B23="Off",0,IF($C23="% off",$D23*$G23,IF($C23="₱ off",MIN($D23,$G23),0)))</f>
        <v/>
      </c>
      <c r="I23" s="62">
        <f>IF($B23="Off",0,IF($C23="Free shipping",IF($G23&gt;=Inputs!$B$38,0,Inputs!$B$49),0))</f>
        <v/>
      </c>
      <c r="J23" s="62">
        <f>IF($B23="Off",0,IF($C23="Free shipping",IF($G23&gt;=Inputs!$B$38,0,Inputs!$B$50),0))</f>
        <v/>
      </c>
      <c r="K23" s="62">
        <f>J23-I23</f>
        <v/>
      </c>
      <c r="L23" s="42">
        <f>H23+I23</f>
        <v/>
      </c>
      <c r="M23" s="43">
        <f>IF($G23=0,0,L23/$G23)</f>
        <v/>
      </c>
      <c r="N23" s="43">
        <f>IF($B$9=0,0,L23/$B$9)</f>
        <v/>
      </c>
      <c r="O23" s="42">
        <f>IF($B23="Active",$F23*L23,0)</f>
        <v/>
      </c>
      <c r="P23" s="42">
        <f>IF($B23="Active",$F23*$G23,0)</f>
        <v/>
      </c>
      <c r="Q23" s="42">
        <f>$G23*(1-$B$6)-H23-I23+IF(I23&gt;0,0,Inputs!$B$34)</f>
        <v/>
      </c>
      <c r="R23" s="43">
        <f>IF(($G23-H23)=0,0,($G23*(1-$B$6)-H23)/($G23-H23))</f>
        <v/>
      </c>
      <c r="S23" s="63">
        <f>IF(Q23&lt;=0,"n/a",O23/Q23)</f>
        <v/>
      </c>
      <c r="T23" s="64">
        <f>IF($B23="Off","—",IF(Q23&lt;0,"STOP — loses money on every order",IF(R23&lt;Inputs!$B$53,"STOP — margin below the floor",IF(AND($C23="Free shipping",$E23&gt;=Inputs!$B$38),"REDUNDANT — these orders already ship free by default",IF(N23&gt;0.5,"CHECK — promo eats &gt;50% of the order's profit",IF($E23&lt;$B$5,"CHECK — min spend &lt;= AOV, subsidises orders you'd get anyway","OK"))))))</f>
        <v/>
      </c>
    </row>
    <row r="24">
      <c r="A24" s="58" t="inlineStr">
        <is>
          <t>₱100 off ₱1,200+ (basket builder)</t>
        </is>
      </c>
      <c r="B24" s="58" t="inlineStr">
        <is>
          <t>Draft</t>
        </is>
      </c>
      <c r="C24" s="58" t="inlineStr">
        <is>
          <t>₱ off</t>
        </is>
      </c>
      <c r="D24" s="59" t="n">
        <v>100</v>
      </c>
      <c r="E24" s="60" t="n">
        <v>1200</v>
      </c>
      <c r="F24" s="61" t="n">
        <v>25</v>
      </c>
      <c r="G24" s="60" t="n">
        <v>1300</v>
      </c>
      <c r="H24" s="42">
        <f>IF($B24="Off",0,IF($C24="% off",$D24*$G24,IF($C24="₱ off",MIN($D24,$G24),0)))</f>
        <v/>
      </c>
      <c r="I24" s="62">
        <f>IF($B24="Off",0,IF($C24="Free shipping",IF($G24&gt;=Inputs!$B$38,0,Inputs!$B$49),0))</f>
        <v/>
      </c>
      <c r="J24" s="62">
        <f>IF($B24="Off",0,IF($C24="Free shipping",IF($G24&gt;=Inputs!$B$38,0,Inputs!$B$50),0))</f>
        <v/>
      </c>
      <c r="K24" s="62">
        <f>J24-I24</f>
        <v/>
      </c>
      <c r="L24" s="42">
        <f>H24+I24</f>
        <v/>
      </c>
      <c r="M24" s="43">
        <f>IF($G24=0,0,L24/$G24)</f>
        <v/>
      </c>
      <c r="N24" s="43">
        <f>IF($B$9=0,0,L24/$B$9)</f>
        <v/>
      </c>
      <c r="O24" s="42">
        <f>IF($B24="Active",$F24*L24,0)</f>
        <v/>
      </c>
      <c r="P24" s="42">
        <f>IF($B24="Active",$F24*$G24,0)</f>
        <v/>
      </c>
      <c r="Q24" s="42">
        <f>$G24*(1-$B$6)-H24-I24+IF(I24&gt;0,0,Inputs!$B$34)</f>
        <v/>
      </c>
      <c r="R24" s="43">
        <f>IF(($G24-H24)=0,0,($G24*(1-$B$6)-H24)/($G24-H24))</f>
        <v/>
      </c>
      <c r="S24" s="63">
        <f>IF(Q24&lt;=0,"n/a",O24/Q24)</f>
        <v/>
      </c>
      <c r="T24" s="64">
        <f>IF($B24="Off","—",IF(Q24&lt;0,"STOP — loses money on every order",IF(R24&lt;Inputs!$B$53,"STOP — margin below the floor",IF(AND($C24="Free shipping",$E24&gt;=Inputs!$B$38),"REDUNDANT — these orders already ship free by default",IF(N24&gt;0.5,"CHECK — promo eats &gt;50% of the order's profit",IF($E24&lt;$B$5,"CHECK — min spend &lt;= AOV, subsidises orders you'd get anyway","OK"))))))</f>
        <v/>
      </c>
    </row>
    <row r="25">
      <c r="A25" s="58" t="inlineStr">
        <is>
          <t>Bundle40 — 40% off clearance</t>
        </is>
      </c>
      <c r="B25" s="58" t="inlineStr">
        <is>
          <t>Draft</t>
        </is>
      </c>
      <c r="C25" s="58" t="inlineStr">
        <is>
          <t>% off</t>
        </is>
      </c>
      <c r="D25" s="59" t="n">
        <v>0.4</v>
      </c>
      <c r="E25" s="60" t="n">
        <v>0</v>
      </c>
      <c r="F25" s="61" t="n">
        <v>30</v>
      </c>
      <c r="G25" s="60" t="n">
        <v>598</v>
      </c>
      <c r="H25" s="42">
        <f>IF($B25="Off",0,IF($C25="% off",$D25*$G25,IF($C25="₱ off",MIN($D25,$G25),0)))</f>
        <v/>
      </c>
      <c r="I25" s="62">
        <f>IF($B25="Off",0,IF($C25="Free shipping",IF($G25&gt;=Inputs!$B$38,0,Inputs!$B$49),0))</f>
        <v/>
      </c>
      <c r="J25" s="62">
        <f>IF($B25="Off",0,IF($C25="Free shipping",IF($G25&gt;=Inputs!$B$38,0,Inputs!$B$50),0))</f>
        <v/>
      </c>
      <c r="K25" s="62">
        <f>J25-I25</f>
        <v/>
      </c>
      <c r="L25" s="42">
        <f>H25+I25</f>
        <v/>
      </c>
      <c r="M25" s="43">
        <f>IF($G25=0,0,L25/$G25)</f>
        <v/>
      </c>
      <c r="N25" s="43">
        <f>IF($B$9=0,0,L25/$B$9)</f>
        <v/>
      </c>
      <c r="O25" s="42">
        <f>IF($B25="Active",$F25*L25,0)</f>
        <v/>
      </c>
      <c r="P25" s="42">
        <f>IF($B25="Active",$F25*$G25,0)</f>
        <v/>
      </c>
      <c r="Q25" s="42">
        <f>$G25*(1-$B$6)-H25-I25+IF(I25&gt;0,0,Inputs!$B$34)</f>
        <v/>
      </c>
      <c r="R25" s="43">
        <f>IF(($G25-H25)=0,0,($G25*(1-$B$6)-H25)/($G25-H25))</f>
        <v/>
      </c>
      <c r="S25" s="63">
        <f>IF(Q25&lt;=0,"n/a",O25/Q25)</f>
        <v/>
      </c>
      <c r="T25" s="64">
        <f>IF($B25="Off","—",IF(Q25&lt;0,"STOP — loses money on every order",IF(R25&lt;Inputs!$B$53,"STOP — margin below the floor",IF(AND($C25="Free shipping",$E25&gt;=Inputs!$B$38),"REDUNDANT — these orders already ship free by default",IF(N25&gt;0.5,"CHECK — promo eats &gt;50% of the order's profit",IF($E25&lt;$B$5,"CHECK — min spend &lt;= AOV, subsidises orders you'd get anyway","OK"))))))</f>
        <v/>
      </c>
    </row>
    <row r="26">
      <c r="A26" s="58" t="n"/>
      <c r="B26" s="58" t="inlineStr">
        <is>
          <t>Off</t>
        </is>
      </c>
      <c r="C26" s="58" t="inlineStr">
        <is>
          <t>% off</t>
        </is>
      </c>
      <c r="D26" s="59" t="n">
        <v>0</v>
      </c>
      <c r="E26" s="60" t="n">
        <v>0</v>
      </c>
      <c r="F26" s="61" t="n">
        <v>0</v>
      </c>
      <c r="G26" s="60" t="n">
        <v>598</v>
      </c>
      <c r="H26" s="42">
        <f>IF($B26="Off",0,IF($C26="% off",$D26*$G26,IF($C26="₱ off",MIN($D26,$G26),0)))</f>
        <v/>
      </c>
      <c r="I26" s="62">
        <f>IF($B26="Off",0,IF($C26="Free shipping",IF($G26&gt;=Inputs!$B$38,0,Inputs!$B$49),0))</f>
        <v/>
      </c>
      <c r="J26" s="62">
        <f>IF($B26="Off",0,IF($C26="Free shipping",IF($G26&gt;=Inputs!$B$38,0,Inputs!$B$50),0))</f>
        <v/>
      </c>
      <c r="K26" s="62">
        <f>J26-I26</f>
        <v/>
      </c>
      <c r="L26" s="42">
        <f>H26+I26</f>
        <v/>
      </c>
      <c r="M26" s="43">
        <f>IF($G26=0,0,L26/$G26)</f>
        <v/>
      </c>
      <c r="N26" s="43">
        <f>IF($B$9=0,0,L26/$B$9)</f>
        <v/>
      </c>
      <c r="O26" s="42">
        <f>IF($B26="Active",$F26*L26,0)</f>
        <v/>
      </c>
      <c r="P26" s="42">
        <f>IF($B26="Active",$F26*$G26,0)</f>
        <v/>
      </c>
      <c r="Q26" s="42">
        <f>$G26*(1-$B$6)-H26-I26+IF(I26&gt;0,0,Inputs!$B$34)</f>
        <v/>
      </c>
      <c r="R26" s="43">
        <f>IF(($G26-H26)=0,0,($G26*(1-$B$6)-H26)/($G26-H26))</f>
        <v/>
      </c>
      <c r="S26" s="63">
        <f>IF(Q26&lt;=0,"n/a",O26/Q26)</f>
        <v/>
      </c>
      <c r="T26" s="64">
        <f>IF($B26="Off","—",IF(Q26&lt;0,"STOP — loses money on every order",IF(R26&lt;Inputs!$B$53,"STOP — margin below the floor",IF(AND($C26="Free shipping",$E26&gt;=Inputs!$B$38),"REDUNDANT — these orders already ship free by default",IF(N26&gt;0.5,"CHECK — promo eats &gt;50% of the order's profit",IF($E26&lt;$B$5,"CHECK — min spend &lt;= AOV, subsidises orders you'd get anyway","OK"))))))</f>
        <v/>
      </c>
    </row>
    <row r="27">
      <c r="A27" s="58" t="n"/>
      <c r="B27" s="58" t="inlineStr">
        <is>
          <t>Off</t>
        </is>
      </c>
      <c r="C27" s="58" t="inlineStr">
        <is>
          <t>% off</t>
        </is>
      </c>
      <c r="D27" s="59" t="n">
        <v>0</v>
      </c>
      <c r="E27" s="60" t="n">
        <v>0</v>
      </c>
      <c r="F27" s="61" t="n">
        <v>0</v>
      </c>
      <c r="G27" s="60" t="n">
        <v>598</v>
      </c>
      <c r="H27" s="42">
        <f>IF($B27="Off",0,IF($C27="% off",$D27*$G27,IF($C27="₱ off",MIN($D27,$G27),0)))</f>
        <v/>
      </c>
      <c r="I27" s="62">
        <f>IF($B27="Off",0,IF($C27="Free shipping",IF($G27&gt;=Inputs!$B$38,0,Inputs!$B$49),0))</f>
        <v/>
      </c>
      <c r="J27" s="62">
        <f>IF($B27="Off",0,IF($C27="Free shipping",IF($G27&gt;=Inputs!$B$38,0,Inputs!$B$50),0))</f>
        <v/>
      </c>
      <c r="K27" s="62">
        <f>J27-I27</f>
        <v/>
      </c>
      <c r="L27" s="42">
        <f>H27+I27</f>
        <v/>
      </c>
      <c r="M27" s="43">
        <f>IF($G27=0,0,L27/$G27)</f>
        <v/>
      </c>
      <c r="N27" s="43">
        <f>IF($B$9=0,0,L27/$B$9)</f>
        <v/>
      </c>
      <c r="O27" s="42">
        <f>IF($B27="Active",$F27*L27,0)</f>
        <v/>
      </c>
      <c r="P27" s="42">
        <f>IF($B27="Active",$F27*$G27,0)</f>
        <v/>
      </c>
      <c r="Q27" s="42">
        <f>$G27*(1-$B$6)-H27-I27+IF(I27&gt;0,0,Inputs!$B$34)</f>
        <v/>
      </c>
      <c r="R27" s="43">
        <f>IF(($G27-H27)=0,0,($G27*(1-$B$6)-H27)/($G27-H27))</f>
        <v/>
      </c>
      <c r="S27" s="63">
        <f>IF(Q27&lt;=0,"n/a",O27/Q27)</f>
        <v/>
      </c>
      <c r="T27" s="64">
        <f>IF($B27="Off","—",IF(Q27&lt;0,"STOP — loses money on every order",IF(R27&lt;Inputs!$B$53,"STOP — margin below the floor",IF(AND($C27="Free shipping",$E27&gt;=Inputs!$B$38),"REDUNDANT — these orders already ship free by default",IF(N27&gt;0.5,"CHECK — promo eats &gt;50% of the order's profit",IF($E27&lt;$B$5,"CHECK — min spend &lt;= AOV, subsidises orders you'd get anyway","OK"))))))</f>
        <v/>
      </c>
    </row>
    <row r="28">
      <c r="A28" s="58" t="n"/>
      <c r="B28" s="58" t="inlineStr">
        <is>
          <t>Off</t>
        </is>
      </c>
      <c r="C28" s="58" t="inlineStr">
        <is>
          <t>% off</t>
        </is>
      </c>
      <c r="D28" s="59" t="n">
        <v>0</v>
      </c>
      <c r="E28" s="60" t="n">
        <v>0</v>
      </c>
      <c r="F28" s="61" t="n">
        <v>0</v>
      </c>
      <c r="G28" s="60" t="n">
        <v>598</v>
      </c>
      <c r="H28" s="42">
        <f>IF($B28="Off",0,IF($C28="% off",$D28*$G28,IF($C28="₱ off",MIN($D28,$G28),0)))</f>
        <v/>
      </c>
      <c r="I28" s="62">
        <f>IF($B28="Off",0,IF($C28="Free shipping",IF($G28&gt;=Inputs!$B$38,0,Inputs!$B$49),0))</f>
        <v/>
      </c>
      <c r="J28" s="62">
        <f>IF($B28="Off",0,IF($C28="Free shipping",IF($G28&gt;=Inputs!$B$38,0,Inputs!$B$50),0))</f>
        <v/>
      </c>
      <c r="K28" s="62">
        <f>J28-I28</f>
        <v/>
      </c>
      <c r="L28" s="42">
        <f>H28+I28</f>
        <v/>
      </c>
      <c r="M28" s="43">
        <f>IF($G28=0,0,L28/$G28)</f>
        <v/>
      </c>
      <c r="N28" s="43">
        <f>IF($B$9=0,0,L28/$B$9)</f>
        <v/>
      </c>
      <c r="O28" s="42">
        <f>IF($B28="Active",$F28*L28,0)</f>
        <v/>
      </c>
      <c r="P28" s="42">
        <f>IF($B28="Active",$F28*$G28,0)</f>
        <v/>
      </c>
      <c r="Q28" s="42">
        <f>$G28*(1-$B$6)-H28-I28+IF(I28&gt;0,0,Inputs!$B$34)</f>
        <v/>
      </c>
      <c r="R28" s="43">
        <f>IF(($G28-H28)=0,0,($G28*(1-$B$6)-H28)/($G28-H28))</f>
        <v/>
      </c>
      <c r="S28" s="63">
        <f>IF(Q28&lt;=0,"n/a",O28/Q28)</f>
        <v/>
      </c>
      <c r="T28" s="64">
        <f>IF($B28="Off","—",IF(Q28&lt;0,"STOP — loses money on every order",IF(R28&lt;Inputs!$B$53,"STOP — margin below the floor",IF(AND($C28="Free shipping",$E28&gt;=Inputs!$B$38),"REDUNDANT — these orders already ship free by default",IF(N28&gt;0.5,"CHECK — promo eats &gt;50% of the order's profit",IF($E28&lt;$B$5,"CHECK — min spend &lt;= AOV, subsidises orders you'd get anyway","OK"))))))</f>
        <v/>
      </c>
    </row>
    <row r="29">
      <c r="A29" s="58" t="n"/>
      <c r="B29" s="58" t="inlineStr">
        <is>
          <t>Off</t>
        </is>
      </c>
      <c r="C29" s="58" t="inlineStr">
        <is>
          <t>% off</t>
        </is>
      </c>
      <c r="D29" s="59" t="n">
        <v>0</v>
      </c>
      <c r="E29" s="60" t="n">
        <v>0</v>
      </c>
      <c r="F29" s="61" t="n">
        <v>0</v>
      </c>
      <c r="G29" s="60" t="n">
        <v>598</v>
      </c>
      <c r="H29" s="42">
        <f>IF($B29="Off",0,IF($C29="% off",$D29*$G29,IF($C29="₱ off",MIN($D29,$G29),0)))</f>
        <v/>
      </c>
      <c r="I29" s="62">
        <f>IF($B29="Off",0,IF($C29="Free shipping",IF($G29&gt;=Inputs!$B$38,0,Inputs!$B$49),0))</f>
        <v/>
      </c>
      <c r="J29" s="62">
        <f>IF($B29="Off",0,IF($C29="Free shipping",IF($G29&gt;=Inputs!$B$38,0,Inputs!$B$50),0))</f>
        <v/>
      </c>
      <c r="K29" s="62">
        <f>J29-I29</f>
        <v/>
      </c>
      <c r="L29" s="42">
        <f>H29+I29</f>
        <v/>
      </c>
      <c r="M29" s="43">
        <f>IF($G29=0,0,L29/$G29)</f>
        <v/>
      </c>
      <c r="N29" s="43">
        <f>IF($B$9=0,0,L29/$B$9)</f>
        <v/>
      </c>
      <c r="O29" s="42">
        <f>IF($B29="Active",$F29*L29,0)</f>
        <v/>
      </c>
      <c r="P29" s="42">
        <f>IF($B29="Active",$F29*$G29,0)</f>
        <v/>
      </c>
      <c r="Q29" s="42">
        <f>$G29*(1-$B$6)-H29-I29+IF(I29&gt;0,0,Inputs!$B$34)</f>
        <v/>
      </c>
      <c r="R29" s="43">
        <f>IF(($G29-H29)=0,0,($G29*(1-$B$6)-H29)/($G29-H29))</f>
        <v/>
      </c>
      <c r="S29" s="63">
        <f>IF(Q29&lt;=0,"n/a",O29/Q29)</f>
        <v/>
      </c>
      <c r="T29" s="64">
        <f>IF($B29="Off","—",IF(Q29&lt;0,"STOP — loses money on every order",IF(R29&lt;Inputs!$B$53,"STOP — margin below the floor",IF(AND($C29="Free shipping",$E29&gt;=Inputs!$B$38),"REDUNDANT — these orders already ship free by default",IF(N29&gt;0.5,"CHECK — promo eats &gt;50% of the order's profit",IF($E29&lt;$B$5,"CHECK — min spend &lt;= AOV, subsidises orders you'd get anyway","OK"))))))</f>
        <v/>
      </c>
    </row>
    <row r="30">
      <c r="A30" s="55" t="inlineStr">
        <is>
          <t>TOTAL (active campaigns)</t>
        </is>
      </c>
      <c r="F30" s="47">
        <f>SUMIF($B$22:$B$29,"Active",F22:F29)</f>
        <v/>
      </c>
      <c r="O30" s="48">
        <f>SUM(O22:O29)</f>
        <v/>
      </c>
      <c r="P30" s="48">
        <f>SUM(P22:P29)</f>
        <v/>
      </c>
    </row>
    <row r="32">
      <c r="A32" s="3" t="inlineStr">
        <is>
          <t>Roll-up</t>
        </is>
      </c>
    </row>
    <row r="33">
      <c r="A33" s="52" t="inlineStr">
        <is>
          <t>Total promo cost / month</t>
        </is>
      </c>
      <c r="B33" s="53">
        <f>O30</f>
        <v/>
      </c>
      <c r="C33" s="25" t="inlineStr">
        <is>
          <t>active campaigns only</t>
        </is>
      </c>
    </row>
    <row r="34">
      <c r="A34" s="52" t="inlineStr">
        <is>
          <t>Free-shipping subsidy — with the cap</t>
        </is>
      </c>
      <c r="B34" s="53">
        <f>SUMPRODUCT(($B$22:$B$29="Active")*$F$22:$F$29*$I$22:$I$29)</f>
        <v/>
      </c>
    </row>
    <row r="35">
      <c r="A35" s="52" t="inlineStr">
        <is>
          <t>Free-shipping subsidy — if the cap is NOT enforced</t>
        </is>
      </c>
      <c r="B35" s="53">
        <f>SUMPRODUCT(($B$22:$B$29="Active")*$F$22:$F$29*$J$22:$J$29)</f>
        <v/>
      </c>
      <c r="C35" s="25" t="inlineStr">
        <is>
          <t>what a forgotten cap would cost</t>
        </is>
      </c>
    </row>
    <row r="36">
      <c r="A36" s="55" t="inlineStr">
        <is>
          <t>Protected by the cap</t>
        </is>
      </c>
      <c r="B36" s="65">
        <f>B35-B34</f>
        <v/>
      </c>
      <c r="C36" s="25" t="inlineStr">
        <is>
          <t>the whole point of the ₱150 default</t>
        </is>
      </c>
    </row>
    <row r="37">
      <c r="A37" s="52" t="inlineStr">
        <is>
          <t>Contribution from assumed uplift</t>
        </is>
      </c>
      <c r="B37" s="53">
        <f>Inputs!$B$57*B10*B9</f>
        <v/>
      </c>
      <c r="C37" s="25" t="inlineStr">
        <is>
          <t>zero until uplift is measured — deliberately conservative</t>
        </is>
      </c>
    </row>
    <row r="38">
      <c r="A38" s="52" t="inlineStr">
        <is>
          <t>Net profit BEFORE vouchers</t>
        </is>
      </c>
      <c r="B38" s="53">
        <f>Analysis!B34</f>
        <v/>
      </c>
    </row>
    <row r="39">
      <c r="A39" s="55" t="inlineStr">
        <is>
          <t>Net profit AFTER vouchers</t>
        </is>
      </c>
      <c r="B39" s="56">
        <f>B38-B33+B37</f>
        <v/>
      </c>
    </row>
    <row r="40">
      <c r="A40" s="52" t="inlineStr">
        <is>
          <t>Change vs before</t>
        </is>
      </c>
      <c r="B40" s="53">
        <f>B39-B38</f>
        <v/>
      </c>
    </row>
    <row r="41">
      <c r="A41" s="52" t="inlineStr">
        <is>
          <t>Promo spend as % of gross profit</t>
        </is>
      </c>
      <c r="B41" s="54">
        <f>IF(Analysis!E23=0,0,B33/Analysis!E23)</f>
        <v/>
      </c>
    </row>
    <row r="42">
      <c r="A42" s="52" t="inlineStr">
        <is>
          <t>Verdict</t>
        </is>
      </c>
      <c r="B42" s="23">
        <f>IF(B39&lt;Inputs!$B$56,"BREACH — net profit below the floor on Inputs",IF(B33&gt;'Marketing Budget'!$B$13,"OVER BUDGET — see Marketing Budget","OK — within every cap"))</f>
        <v/>
      </c>
    </row>
  </sheetData>
  <conditionalFormatting sqref="T22:T29">
    <cfRule type="expression" priority="1" dxfId="0">
      <formula>ISNUMBER(SEARCH("STOP",$T22))</formula>
    </cfRule>
    <cfRule type="expression" priority="2" dxfId="1">
      <formula>ISNUMBER(SEARCH("REDUNDANT",$T22))</formula>
    </cfRule>
    <cfRule type="expression" priority="3" dxfId="1">
      <formula>ISNUMBER(SEARCH("CHECK",$T22))</formula>
    </cfRule>
    <cfRule type="expression" priority="4" dxfId="2">
      <formula>EXACT($T22,"OK")</formula>
    </cfRule>
  </conditionalFormatting>
  <dataValidations count="2">
    <dataValidation sqref="B22:B29" showDropDown="0" showInputMessage="0" showErrorMessage="0" allowBlank="0" type="list">
      <formula1>"Active,Draft,Off"</formula1>
    </dataValidation>
    <dataValidation sqref="C22:C29" showDropDown="0" showInputMessage="0" showErrorMessage="0" allowBlank="0" type="list">
      <formula1>"% off,₱ off,Free shipping"</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32"/>
  <sheetViews>
    <sheetView showGridLines="0" workbookViewId="0">
      <selection activeCell="A1" sqref="A1"/>
    </sheetView>
  </sheetViews>
  <sheetFormatPr baseColWidth="8" defaultRowHeight="15"/>
  <cols>
    <col width="46" customWidth="1" min="1" max="1"/>
    <col width="22" customWidth="1" min="2" max="2"/>
    <col width="50" customWidth="1" min="3" max="3"/>
  </cols>
  <sheetData>
    <row r="1">
      <c r="A1" s="1" t="inlineStr">
        <is>
          <t>Marketing Budget — the ceiling promo spend may not cross</t>
        </is>
      </c>
    </row>
    <row r="2">
      <c r="A2" s="25" t="inlineStr">
        <is>
          <t>Three independent caps. The tightest one binds. Spend against that number, not against a wish.</t>
        </is>
      </c>
    </row>
    <row r="4">
      <c r="A4" s="3" t="inlineStr">
        <is>
          <t>Where the money is now</t>
        </is>
      </c>
    </row>
    <row r="5">
      <c r="A5" s="52" t="inlineStr">
        <is>
          <t>Gross revenue / month</t>
        </is>
      </c>
      <c r="B5" s="53">
        <f>Analysis!C23</f>
        <v/>
      </c>
    </row>
    <row r="6">
      <c r="A6" s="52" t="inlineStr">
        <is>
          <t>Gross profit / month</t>
        </is>
      </c>
      <c r="B6" s="53">
        <f>Analysis!E23</f>
        <v/>
      </c>
    </row>
    <row r="7">
      <c r="A7" s="52" t="inlineStr">
        <is>
          <t>Net profit / month (before any promo)</t>
        </is>
      </c>
      <c r="B7" s="53">
        <f>Analysis!B34</f>
        <v/>
      </c>
    </row>
    <row r="9">
      <c r="A9" s="3" t="inlineStr">
        <is>
          <t>Three caps — the binding one wins</t>
        </is>
      </c>
    </row>
    <row r="10">
      <c r="A10" s="52" t="inlineStr">
        <is>
          <t>Cap A — % of gross revenue</t>
        </is>
      </c>
      <c r="B10" s="53">
        <f>Inputs!$B$54*B5</f>
        <v/>
      </c>
      <c r="C10" s="25" t="inlineStr">
        <is>
          <t>share of revenue allowed</t>
        </is>
      </c>
    </row>
    <row r="11">
      <c r="A11" s="52" t="inlineStr">
        <is>
          <t>Cap B — % of gross profit</t>
        </is>
      </c>
      <c r="B11" s="53">
        <f>Inputs!$B$55*B6</f>
        <v/>
      </c>
      <c r="C11" s="25" t="inlineStr">
        <is>
          <t>share of gross profit allowed</t>
        </is>
      </c>
    </row>
    <row r="12">
      <c r="A12" s="52" t="inlineStr">
        <is>
          <t>Cap C — keep net profit above the floor</t>
        </is>
      </c>
      <c r="B12" s="53">
        <f>MAX(0,B7-Inputs!$B$56)</f>
        <v/>
      </c>
      <c r="C12" s="25" t="inlineStr">
        <is>
          <t>whatever sits above the net profit floor</t>
        </is>
      </c>
    </row>
    <row r="13">
      <c r="A13" s="55" t="inlineStr">
        <is>
          <t>BINDING CAP — max marketing spend / month</t>
        </is>
      </c>
      <c r="B13" s="66">
        <f>MIN(B10:B12)</f>
        <v/>
      </c>
      <c r="C13" s="25" t="inlineStr">
        <is>
          <t>the real budget</t>
        </is>
      </c>
    </row>
    <row r="14">
      <c r="A14" s="52" t="inlineStr">
        <is>
          <t>Which cap binds</t>
        </is>
      </c>
      <c r="B14" s="67">
        <f>IF(B13=B10,"A — % of revenue",IF(B13=B11,"B — % of gross profit","C — net profit floor"))</f>
        <v/>
      </c>
    </row>
    <row r="16">
      <c r="A16" s="3" t="inlineStr">
        <is>
          <t>Planned spend</t>
        </is>
      </c>
    </row>
    <row r="17">
      <c r="A17" s="52" t="inlineStr">
        <is>
          <t>Voucher / discount cost (from Vouchers)</t>
        </is>
      </c>
      <c r="B17" s="53">
        <f>Vouchers!B33</f>
        <v/>
      </c>
    </row>
    <row r="18">
      <c r="A18" s="52" t="inlineStr">
        <is>
          <t>Other marketing spend (ads, samples, collabs)</t>
        </is>
      </c>
      <c r="B18" s="39" t="n">
        <v>0</v>
      </c>
      <c r="C18" s="25" t="inlineStr">
        <is>
          <t>PHP / month — editable</t>
        </is>
      </c>
    </row>
    <row r="19">
      <c r="A19" s="55" t="inlineStr">
        <is>
          <t>TOTAL marketing spend</t>
        </is>
      </c>
      <c r="B19" s="56">
        <f>B17+B18</f>
        <v/>
      </c>
    </row>
    <row r="20">
      <c r="A20" s="52" t="inlineStr">
        <is>
          <t>Headroom vs binding cap</t>
        </is>
      </c>
      <c r="B20" s="53">
        <f>B13-B19</f>
        <v/>
      </c>
      <c r="C20" s="25" t="inlineStr">
        <is>
          <t>negative means you are over</t>
        </is>
      </c>
    </row>
    <row r="21">
      <c r="A21" s="52" t="inlineStr">
        <is>
          <t>Spend as % of gross revenue</t>
        </is>
      </c>
      <c r="B21" s="54">
        <f>IF(B5=0,0,B19/B5)</f>
        <v/>
      </c>
    </row>
    <row r="22">
      <c r="A22" s="52" t="inlineStr">
        <is>
          <t>Spend as % of gross profit</t>
        </is>
      </c>
      <c r="B22" s="54">
        <f>IF(B6=0,0,B19/B6)</f>
        <v/>
      </c>
    </row>
    <row r="23">
      <c r="A23" s="52" t="inlineStr">
        <is>
          <t>Extra exposure if shipping caps are not enforced</t>
        </is>
      </c>
      <c r="B23" s="53">
        <f>Vouchers!B36</f>
        <v/>
      </c>
      <c r="C23" s="25" t="inlineStr">
        <is>
          <t>add this to the spend above if an admin clears a cap</t>
        </is>
      </c>
    </row>
    <row r="25">
      <c r="A25" s="3" t="inlineStr">
        <is>
          <t>Result</t>
        </is>
      </c>
    </row>
    <row r="26">
      <c r="A26" s="55" t="inlineStr">
        <is>
          <t>Net profit AFTER marketing</t>
        </is>
      </c>
      <c r="B26" s="56">
        <f>B7-B19+Vouchers!B37</f>
        <v/>
      </c>
    </row>
    <row r="27">
      <c r="A27" s="52" t="inlineStr">
        <is>
          <t>Net margin after marketing</t>
        </is>
      </c>
      <c r="B27" s="54">
        <f>IF(B5=0,0,B26/B5)</f>
        <v/>
      </c>
    </row>
    <row r="28">
      <c r="A28" s="52" t="inlineStr">
        <is>
          <t>Net profit floor (from Inputs)</t>
        </is>
      </c>
      <c r="B28" s="53">
        <f>Inputs!$B$56</f>
        <v/>
      </c>
    </row>
    <row r="29">
      <c r="A29" s="52" t="inlineStr">
        <is>
          <t>VERDICT</t>
        </is>
      </c>
      <c r="B29" s="68">
        <f>IF(B19&gt;B13,"OVER BUDGET — cut "&amp;TEXT(B19-B13,"₱#,##0")&amp;" of promo spend",IF(B26&lt;Inputs!$B$56,"BREACH — net profit below the floor","OK — within every cap, "&amp;TEXT(B20,"₱#,##0")&amp;" of headroom left"))</f>
        <v/>
      </c>
    </row>
    <row r="31">
      <c r="A31" s="69" t="inlineStr">
        <is>
          <t>Cap C is the one that actually protects the business: it is the only cap expressed in profit rather than as a share of a number that promos themselves inflate. Discounting lifts revenue while shrinking profit, so a revenue-share cap alone loosens exactly when it should tighten.</t>
        </is>
      </c>
    </row>
    <row r="32"/>
  </sheetData>
  <mergeCells count="1">
    <mergeCell ref="A31:C32"/>
  </mergeCells>
  <conditionalFormatting sqref="B29">
    <cfRule type="expression" priority="1" dxfId="3">
      <formula>ISNUMBER(SEARCH("OVER",$B$29))</formula>
    </cfRule>
    <cfRule type="expression" priority="2" dxfId="3">
      <formula>ISNUMBER(SEARCH("BREACH",$B$29))</formula>
    </cfRule>
    <cfRule type="expression" priority="3" dxfId="4">
      <formula>ISNUMBER(SEARCH("OK",$B$29))</formula>
    </cfRule>
  </conditionalFormatting>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16"/>
  <sheetViews>
    <sheetView showGridLines="0" workbookViewId="0">
      <selection activeCell="A1" sqref="A1"/>
    </sheetView>
  </sheetViews>
  <sheetFormatPr baseColWidth="8" defaultRowHeight="15"/>
  <cols>
    <col width="40" customWidth="1" min="1" max="1"/>
    <col width="18" customWidth="1" min="2" max="2"/>
    <col width="18" customWidth="1" min="3" max="3"/>
    <col width="11" customWidth="1" min="4" max="4"/>
    <col width="15" customWidth="1" min="5" max="5"/>
    <col width="20" customWidth="1" min="6" max="6"/>
    <col width="20" customWidth="1" min="7" max="7"/>
    <col width="18" customWidth="1" min="8" max="8"/>
    <col width="34" customWidth="1" min="9" max="9"/>
  </cols>
  <sheetData>
    <row r="1">
      <c r="A1" s="1" t="inlineStr">
        <is>
          <t>Scenarios — what a blanket discount does to the month</t>
        </is>
      </c>
    </row>
    <row r="2">
      <c r="A2" s="25" t="inlineStr">
        <is>
          <t>Applied to every order, at today's volume, with zero assumed uplift. Read the last three columns together.</t>
        </is>
      </c>
    </row>
    <row r="4" ht="34" customHeight="1">
      <c r="A4" s="40" t="inlineStr">
        <is>
          <t>Scenario</t>
        </is>
      </c>
      <c r="B4" s="40" t="inlineStr">
        <is>
          <t>Promo cost / month</t>
        </is>
      </c>
      <c r="C4" s="40" t="inlineStr">
        <is>
          <t>Net profit / month</t>
        </is>
      </c>
      <c r="D4" s="40" t="inlineStr">
        <is>
          <t>Net margin</t>
        </is>
      </c>
      <c r="E4" s="40" t="inlineStr">
        <is>
          <t>vs profit floor</t>
        </is>
      </c>
      <c r="F4" s="40" t="inlineStr">
        <is>
          <t>Contribution per order after</t>
        </is>
      </c>
      <c r="G4" s="40" t="inlineStr">
        <is>
          <t>Break-even extra orders / month</t>
        </is>
      </c>
      <c r="H4" s="40" t="inlineStr">
        <is>
          <t>Break-even uplift needed</t>
        </is>
      </c>
      <c r="I4" s="40" t="inlineStr">
        <is>
          <t>Verdict</t>
        </is>
      </c>
    </row>
    <row r="5">
      <c r="A5" s="55" t="inlineStr">
        <is>
          <t>0% off every order</t>
        </is>
      </c>
      <c r="B5" s="42">
        <f>0.0*Analysis!$C$23</f>
        <v/>
      </c>
      <c r="C5" s="42">
        <f>Analysis!$B$34-B5</f>
        <v/>
      </c>
      <c r="D5" s="43">
        <f>IF(Analysis!$C$23=0,0,C5/Analysis!$C$23)</f>
        <v/>
      </c>
      <c r="E5" s="42">
        <f>C5-Inputs!$B$56</f>
        <v/>
      </c>
      <c r="F5" s="42">
        <f>Vouchers!$B$9-0.0*Vouchers!$B$5</f>
        <v/>
      </c>
      <c r="G5" s="63">
        <f>IF(F5&lt;=0,"n/a",B5/F5)</f>
        <v/>
      </c>
      <c r="H5" s="43">
        <f>IF(F5&lt;=0,"n/a",B5/F5/Analysis!$B$27)</f>
        <v/>
      </c>
      <c r="I5" s="64">
        <f>IF(F5&lt;=0,"STOP — the order itself loses money",IF(C5&lt;Inputs!$B$56,"BREACH — below the profit floor",IF(B5&gt;'Marketing Budget'!$B$13,"OVER CAP — exceeds the binding cap","OK")))</f>
        <v/>
      </c>
    </row>
    <row r="6">
      <c r="A6" s="52" t="inlineStr">
        <is>
          <t>5% off every order</t>
        </is>
      </c>
      <c r="B6" s="42">
        <f>0.05*Analysis!$C$23</f>
        <v/>
      </c>
      <c r="C6" s="42">
        <f>Analysis!$B$34-B6</f>
        <v/>
      </c>
      <c r="D6" s="43">
        <f>IF(Analysis!$C$23=0,0,C6/Analysis!$C$23)</f>
        <v/>
      </c>
      <c r="E6" s="42">
        <f>C6-Inputs!$B$56</f>
        <v/>
      </c>
      <c r="F6" s="42">
        <f>Vouchers!$B$9-0.05*Vouchers!$B$5</f>
        <v/>
      </c>
      <c r="G6" s="63">
        <f>IF(F6&lt;=0,"n/a",B6/F6)</f>
        <v/>
      </c>
      <c r="H6" s="43">
        <f>IF(F6&lt;=0,"n/a",B6/F6/Analysis!$B$27)</f>
        <v/>
      </c>
      <c r="I6" s="64">
        <f>IF(F6&lt;=0,"STOP — the order itself loses money",IF(C6&lt;Inputs!$B$56,"BREACH — below the profit floor",IF(B6&gt;'Marketing Budget'!$B$13,"OVER CAP — exceeds the binding cap","OK")))</f>
        <v/>
      </c>
    </row>
    <row r="7">
      <c r="A7" s="52" t="inlineStr">
        <is>
          <t>10% off every order</t>
        </is>
      </c>
      <c r="B7" s="42">
        <f>0.1*Analysis!$C$23</f>
        <v/>
      </c>
      <c r="C7" s="42">
        <f>Analysis!$B$34-B7</f>
        <v/>
      </c>
      <c r="D7" s="43">
        <f>IF(Analysis!$C$23=0,0,C7/Analysis!$C$23)</f>
        <v/>
      </c>
      <c r="E7" s="42">
        <f>C7-Inputs!$B$56</f>
        <v/>
      </c>
      <c r="F7" s="42">
        <f>Vouchers!$B$9-0.1*Vouchers!$B$5</f>
        <v/>
      </c>
      <c r="G7" s="63">
        <f>IF(F7&lt;=0,"n/a",B7/F7)</f>
        <v/>
      </c>
      <c r="H7" s="43">
        <f>IF(F7&lt;=0,"n/a",B7/F7/Analysis!$B$27)</f>
        <v/>
      </c>
      <c r="I7" s="64">
        <f>IF(F7&lt;=0,"STOP — the order itself loses money",IF(C7&lt;Inputs!$B$56,"BREACH — below the profit floor",IF(B7&gt;'Marketing Budget'!$B$13,"OVER CAP — exceeds the binding cap","OK")))</f>
        <v/>
      </c>
    </row>
    <row r="8">
      <c r="A8" s="52" t="inlineStr">
        <is>
          <t>15% off every order</t>
        </is>
      </c>
      <c r="B8" s="42">
        <f>0.15*Analysis!$C$23</f>
        <v/>
      </c>
      <c r="C8" s="42">
        <f>Analysis!$B$34-B8</f>
        <v/>
      </c>
      <c r="D8" s="43">
        <f>IF(Analysis!$C$23=0,0,C8/Analysis!$C$23)</f>
        <v/>
      </c>
      <c r="E8" s="42">
        <f>C8-Inputs!$B$56</f>
        <v/>
      </c>
      <c r="F8" s="42">
        <f>Vouchers!$B$9-0.15*Vouchers!$B$5</f>
        <v/>
      </c>
      <c r="G8" s="63">
        <f>IF(F8&lt;=0,"n/a",B8/F8)</f>
        <v/>
      </c>
      <c r="H8" s="43">
        <f>IF(F8&lt;=0,"n/a",B8/F8/Analysis!$B$27)</f>
        <v/>
      </c>
      <c r="I8" s="64">
        <f>IF(F8&lt;=0,"STOP — the order itself loses money",IF(C8&lt;Inputs!$B$56,"BREACH — below the profit floor",IF(B8&gt;'Marketing Budget'!$B$13,"OVER CAP — exceeds the binding cap","OK")))</f>
        <v/>
      </c>
    </row>
    <row r="9">
      <c r="A9" s="52" t="inlineStr">
        <is>
          <t>20% off every order</t>
        </is>
      </c>
      <c r="B9" s="42">
        <f>0.2*Analysis!$C$23</f>
        <v/>
      </c>
      <c r="C9" s="42">
        <f>Analysis!$B$34-B9</f>
        <v/>
      </c>
      <c r="D9" s="43">
        <f>IF(Analysis!$C$23=0,0,C9/Analysis!$C$23)</f>
        <v/>
      </c>
      <c r="E9" s="42">
        <f>C9-Inputs!$B$56</f>
        <v/>
      </c>
      <c r="F9" s="42">
        <f>Vouchers!$B$9-0.2*Vouchers!$B$5</f>
        <v/>
      </c>
      <c r="G9" s="63">
        <f>IF(F9&lt;=0,"n/a",B9/F9)</f>
        <v/>
      </c>
      <c r="H9" s="43">
        <f>IF(F9&lt;=0,"n/a",B9/F9/Analysis!$B$27)</f>
        <v/>
      </c>
      <c r="I9" s="64">
        <f>IF(F9&lt;=0,"STOP — the order itself loses money",IF(C9&lt;Inputs!$B$56,"BREACH — below the profit floor",IF(B9&gt;'Marketing Budget'!$B$13,"OVER CAP — exceeds the binding cap","OK")))</f>
        <v/>
      </c>
    </row>
    <row r="10">
      <c r="A10" s="52" t="inlineStr">
        <is>
          <t>25% off every order</t>
        </is>
      </c>
      <c r="B10" s="42">
        <f>0.25*Analysis!$C$23</f>
        <v/>
      </c>
      <c r="C10" s="42">
        <f>Analysis!$B$34-B10</f>
        <v/>
      </c>
      <c r="D10" s="43">
        <f>IF(Analysis!$C$23=0,0,C10/Analysis!$C$23)</f>
        <v/>
      </c>
      <c r="E10" s="42">
        <f>C10-Inputs!$B$56</f>
        <v/>
      </c>
      <c r="F10" s="42">
        <f>Vouchers!$B$9-0.25*Vouchers!$B$5</f>
        <v/>
      </c>
      <c r="G10" s="63">
        <f>IF(F10&lt;=0,"n/a",B10/F10)</f>
        <v/>
      </c>
      <c r="H10" s="43">
        <f>IF(F10&lt;=0,"n/a",B10/F10/Analysis!$B$27)</f>
        <v/>
      </c>
      <c r="I10" s="64">
        <f>IF(F10&lt;=0,"STOP — the order itself loses money",IF(C10&lt;Inputs!$B$56,"BREACH — below the profit floor",IF(B10&gt;'Marketing Budget'!$B$13,"OVER CAP — exceeds the binding cap","OK")))</f>
        <v/>
      </c>
    </row>
    <row r="11">
      <c r="A11" s="52" t="inlineStr">
        <is>
          <t>30% off every order</t>
        </is>
      </c>
      <c r="B11" s="42">
        <f>0.3*Analysis!$C$23</f>
        <v/>
      </c>
      <c r="C11" s="42">
        <f>Analysis!$B$34-B11</f>
        <v/>
      </c>
      <c r="D11" s="43">
        <f>IF(Analysis!$C$23=0,0,C11/Analysis!$C$23)</f>
        <v/>
      </c>
      <c r="E11" s="42">
        <f>C11-Inputs!$B$56</f>
        <v/>
      </c>
      <c r="F11" s="42">
        <f>Vouchers!$B$9-0.3*Vouchers!$B$5</f>
        <v/>
      </c>
      <c r="G11" s="63">
        <f>IF(F11&lt;=0,"n/a",B11/F11)</f>
        <v/>
      </c>
      <c r="H11" s="43">
        <f>IF(F11&lt;=0,"n/a",B11/F11/Analysis!$B$27)</f>
        <v/>
      </c>
      <c r="I11" s="64">
        <f>IF(F11&lt;=0,"STOP — the order itself loses money",IF(C11&lt;Inputs!$B$56,"BREACH — below the profit floor",IF(B11&gt;'Marketing Budget'!$B$13,"OVER CAP — exceeds the binding cap","OK")))</f>
        <v/>
      </c>
    </row>
    <row r="12">
      <c r="A12" s="70" t="inlineStr">
        <is>
          <t>Free shipping on every order — cap enforced</t>
        </is>
      </c>
      <c r="B12" s="62">
        <f>Analysis!$B$27*(1-Inputs!$B$41)*Inputs!$B$49</f>
        <v/>
      </c>
      <c r="C12" s="62">
        <f>Analysis!$B$34-B12</f>
        <v/>
      </c>
      <c r="D12" s="71">
        <f>IF(Analysis!$C$23=0,0,C12/Analysis!$C$23)</f>
        <v/>
      </c>
      <c r="E12" s="62">
        <f>C12-Inputs!$B$56</f>
        <v/>
      </c>
      <c r="F12" s="62">
        <f>Vouchers!$B$9-Inputs!$B$49</f>
        <v/>
      </c>
      <c r="G12" s="72">
        <f>IF(F12&lt;=0,"n/a",B12/F12)</f>
        <v/>
      </c>
      <c r="H12" s="71">
        <f>IF(F12&lt;=0,"n/a",B12/F12/Analysis!$B$27)</f>
        <v/>
      </c>
      <c r="I12" s="73">
        <f>IF(F12&lt;=0,"STOP — the order itself loses money",IF(C12&lt;Inputs!$B$56,"BREACH — below the profit floor",IF(B12&gt;'Marketing Budget'!$B$13,"OVER CAP — exceeds the binding cap","OK")))</f>
        <v/>
      </c>
    </row>
    <row r="13">
      <c r="A13" s="70" t="inlineStr">
        <is>
          <t>Free shipping on every order — cap NOT enforced</t>
        </is>
      </c>
      <c r="B13" s="62">
        <f>Analysis!$B$27*(1-Inputs!$B$41)*Inputs!$B$50</f>
        <v/>
      </c>
      <c r="C13" s="62">
        <f>Analysis!$B$34-B13</f>
        <v/>
      </c>
      <c r="D13" s="71">
        <f>IF(Analysis!$C$23=0,0,C13/Analysis!$C$23)</f>
        <v/>
      </c>
      <c r="E13" s="62">
        <f>C13-Inputs!$B$56</f>
        <v/>
      </c>
      <c r="F13" s="62">
        <f>Vouchers!$B$9-Inputs!$B$50</f>
        <v/>
      </c>
      <c r="G13" s="72">
        <f>IF(F13&lt;=0,"n/a",B13/F13)</f>
        <v/>
      </c>
      <c r="H13" s="71">
        <f>IF(F13&lt;=0,"n/a",B13/F13/Analysis!$B$27)</f>
        <v/>
      </c>
      <c r="I13" s="73">
        <f>IF(F13&lt;=0,"STOP — the order itself loses money",IF(C13&lt;Inputs!$B$56,"BREACH — below the profit floor",IF(B13&gt;'Marketing Budget'!$B$13,"OVER CAP — exceeds the binding cap","OK")))</f>
        <v/>
      </c>
    </row>
    <row r="15">
      <c r="A15" s="69" t="inlineStr">
        <is>
          <t>Break-even uplift needed is the honest test: the extra order volume, as a % of today's orders, that the discount must create before it has paid for itself. The last two rows are the same promo with and without the shipping cap enforced — the gap between them is what the ₱150 default is worth every month.</t>
        </is>
      </c>
    </row>
    <row r="16"/>
  </sheetData>
  <mergeCells count="1">
    <mergeCell ref="A15:I16"/>
  </mergeCells>
  <conditionalFormatting sqref="I5:I13">
    <cfRule type="expression" priority="1" dxfId="0">
      <formula>ISNUMBER(SEARCH("STOP",$I5))</formula>
    </cfRule>
    <cfRule type="expression" priority="2" dxfId="0">
      <formula>ISNUMBER(SEARCH("BREACH",$I5))</formula>
    </cfRule>
    <cfRule type="expression" priority="3" dxfId="1">
      <formula>ISNUMBER(SEARCH("OVER",$I5))</formula>
    </cfRule>
    <cfRule type="expression" priority="4" dxfId="2">
      <formula>EXACT($I5,"OK")</formula>
    </cfRule>
  </conditionalFormatting>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19"/>
  <sheetViews>
    <sheetView showGridLines="0" workbookViewId="0">
      <selection activeCell="A1" sqref="A1"/>
    </sheetView>
  </sheetViews>
  <sheetFormatPr baseColWidth="8" defaultRowHeight="15"/>
  <cols>
    <col width="36" customWidth="1" min="1" max="1"/>
    <col width="14" customWidth="1" min="2" max="2"/>
    <col width="14" customWidth="1" min="3" max="3"/>
    <col width="16" customWidth="1" min="4" max="4"/>
    <col width="14" customWidth="1" min="5" max="5"/>
  </cols>
  <sheetData>
    <row r="1">
      <c r="A1" s="1" t="inlineStr">
        <is>
          <t>Make My Coffee — Expenses Tracker</t>
        </is>
      </c>
    </row>
    <row r="2">
      <c r="A2" s="25" t="inlineStr">
        <is>
          <t>Edit the highlighted (yellow) cells. The monthly total feeds the projection on Analysis.</t>
        </is>
      </c>
    </row>
    <row r="4" ht="34" customHeight="1">
      <c r="A4" s="40" t="inlineStr">
        <is>
          <t>Packaging Print</t>
        </is>
      </c>
      <c r="B4" s="40" t="inlineStr">
        <is>
          <t>Price</t>
        </is>
      </c>
      <c r="C4" s="40" t="inlineStr">
        <is>
          <t>Qty / month</t>
        </is>
      </c>
      <c r="D4" s="40" t="inlineStr">
        <is>
          <t>Monthly cost</t>
        </is>
      </c>
    </row>
    <row r="5">
      <c r="A5" s="52" t="inlineStr">
        <is>
          <t>Printed bottle label sticker</t>
        </is>
      </c>
      <c r="B5" s="74" t="n"/>
      <c r="C5" s="61" t="n">
        <v>0</v>
      </c>
      <c r="D5" s="42">
        <f>IF(B5="",0,B5*C5)</f>
        <v/>
      </c>
      <c r="E5" s="25" t="inlineStr">
        <is>
          <t>per page</t>
        </is>
      </c>
    </row>
    <row r="6">
      <c r="A6" s="52" t="inlineStr">
        <is>
          <t>Printed packaging thank you sticker</t>
        </is>
      </c>
      <c r="B6" s="74" t="n"/>
      <c r="C6" s="61" t="n">
        <v>0</v>
      </c>
      <c r="D6" s="42">
        <f>IF(B6="",0,B6*C6)</f>
        <v/>
      </c>
      <c r="E6" s="25" t="inlineStr">
        <is>
          <t>per page</t>
        </is>
      </c>
    </row>
    <row r="7">
      <c r="A7" s="52" t="inlineStr">
        <is>
          <t>Printed coffee recipe / guide card</t>
        </is>
      </c>
      <c r="B7" s="74" t="n"/>
      <c r="C7" s="61" t="n">
        <v>0</v>
      </c>
      <c r="D7" s="42">
        <f>IF(B7="",0,B7*C7)</f>
        <v/>
      </c>
      <c r="E7" s="25" t="inlineStr">
        <is>
          <t>per page</t>
        </is>
      </c>
    </row>
    <row r="8">
      <c r="A8" s="55" t="inlineStr">
        <is>
          <t>Total Printing Expenses</t>
        </is>
      </c>
      <c r="D8" s="48">
        <f>SUM(D5:D7)</f>
        <v/>
      </c>
    </row>
    <row r="10" ht="34" customHeight="1">
      <c r="A10" s="40" t="inlineStr">
        <is>
          <t>Cleaning Materials</t>
        </is>
      </c>
      <c r="B10" s="40" t="inlineStr">
        <is>
          <t>Price</t>
        </is>
      </c>
      <c r="C10" s="40" t="inlineStr">
        <is>
          <t>Qty / month</t>
        </is>
      </c>
      <c r="D10" s="40" t="inlineStr">
        <is>
          <t>Monthly cost</t>
        </is>
      </c>
    </row>
    <row r="11">
      <c r="A11" s="52" t="inlineStr">
        <is>
          <t>Tissue/Paper Towels</t>
        </is>
      </c>
      <c r="B11" s="74" t="n">
        <v>33</v>
      </c>
      <c r="C11" s="61" t="n">
        <v>0</v>
      </c>
      <c r="D11" s="42">
        <f>B11*C11</f>
        <v/>
      </c>
      <c r="E11" s="25" t="inlineStr">
        <is>
          <t>per pack</t>
        </is>
      </c>
    </row>
    <row r="12">
      <c r="A12" s="52" t="inlineStr">
        <is>
          <t>Towel</t>
        </is>
      </c>
      <c r="B12" s="74" t="n">
        <v>60</v>
      </c>
      <c r="C12" s="61" t="n">
        <v>0</v>
      </c>
      <c r="D12" s="42">
        <f>B12*C12</f>
        <v/>
      </c>
      <c r="E12" s="25" t="inlineStr">
        <is>
          <t>per pack</t>
        </is>
      </c>
    </row>
    <row r="13">
      <c r="A13" s="52" t="inlineStr">
        <is>
          <t>Trash bag</t>
        </is>
      </c>
      <c r="B13" s="74" t="n">
        <v>30</v>
      </c>
      <c r="C13" s="61" t="n">
        <v>0</v>
      </c>
      <c r="D13" s="42">
        <f>B13*C13</f>
        <v/>
      </c>
      <c r="E13" s="25" t="inlineStr">
        <is>
          <t>per roll</t>
        </is>
      </c>
    </row>
    <row r="14">
      <c r="A14" s="55" t="inlineStr">
        <is>
          <t>Total Cleaning Expenses</t>
        </is>
      </c>
      <c r="D14" s="48">
        <f>SUM(D11:D13)</f>
        <v/>
      </c>
    </row>
    <row r="16">
      <c r="A16" s="3" t="inlineStr">
        <is>
          <t>TOTAL OTHER EXPENSES / month</t>
        </is>
      </c>
      <c r="D16" s="66">
        <f>D8+D14</f>
        <v/>
      </c>
    </row>
    <row r="18">
      <c r="A18" s="69" t="inlineStr">
        <is>
          <t>Quantities default to 0, so nothing is charged until you fill in Qty / month. The projection on Analysis picks the total up automatically.</t>
        </is>
      </c>
    </row>
    <row r="19"/>
  </sheetData>
  <mergeCells count="1">
    <mergeCell ref="A18:E19"/>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2026-08-22T14:01:12Z</dcterms:created>
  <dcterms:modified xmlns:dcterms="http://purl.org/dc/terms/" xmlns:xsi="http://www.w3.org/2001/XMLSchema-instance" xsi:type="dcterms:W3CDTF">2026-09-05T18:47:39Z</dcterms:modified>
</cp:coreProperties>
</file>