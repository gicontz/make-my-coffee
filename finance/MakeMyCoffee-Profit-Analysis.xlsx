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&quot;₱&quot;* #,##0.00_-"/>
    <numFmt numFmtId="165" formatCode="0.0%"/>
    <numFmt numFmtId="166" formatCode="#,##0.0"/>
  </numFmts>
  <fonts count="13">
    <font>
      <name val="Calibri"/>
      <family val="2"/>
      <color theme="1"/>
      <sz val="11"/>
      <scheme val="minor"/>
    </font>
    <font>
      <b val="1"/>
      <color rgb="001C0A00"/>
      <sz val="16"/>
    </font>
    <font>
      <i val="1"/>
      <color rgb="008B5E0A"/>
      <sz val="10"/>
    </font>
    <font>
      <b val="1"/>
      <color rgb="00C8860A"/>
      <sz val="12"/>
    </font>
    <font>
      <color rgb="001C0A00"/>
    </font>
    <font>
      <b val="1"/>
      <color rgb="001C0A00"/>
    </font>
    <font>
      <b val="1"/>
      <color rgb="00C8860A"/>
    </font>
    <font>
      <b val="1"/>
      <color rgb="001C0A00"/>
      <sz val="14"/>
    </font>
    <font>
      <b val="1"/>
      <color rgb="00FFFFFF"/>
      <sz val="11"/>
    </font>
    <font>
      <b val="1"/>
      <color rgb="0016A34A"/>
    </font>
    <font>
      <color rgb="001C0A00"/>
      <sz val="11"/>
    </font>
    <font>
      <b val="1"/>
      <color rgb="0016A34A"/>
      <sz val="12"/>
    </font>
    <font>
      <b val="1"/>
      <color rgb="001C0A00"/>
      <sz val="12"/>
    </font>
  </fonts>
  <fills count="5">
    <fill>
      <patternFill/>
    </fill>
    <fill>
      <patternFill patternType="gray125"/>
    </fill>
    <fill>
      <patternFill patternType="solid">
        <fgColor rgb="00FFF7DC"/>
      </patternFill>
    </fill>
    <fill>
      <patternFill patternType="solid">
        <fgColor rgb="00F5E6D3"/>
      </patternFill>
    </fill>
    <fill>
      <patternFill patternType="solid">
        <fgColor rgb="001C0A00"/>
      </patternFill>
    </fill>
  </fills>
  <borders count="2">
    <border>
      <left/>
      <right/>
      <top/>
      <bottom/>
      <diagonal/>
    </border>
    <border>
      <left style="thin">
        <color rgb="00E8D9C4"/>
      </left>
      <right style="thin">
        <color rgb="00E8D9C4"/>
      </right>
      <top style="thin">
        <color rgb="00E8D9C4"/>
      </top>
      <bottom style="thin">
        <color rgb="00E8D9C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5" fillId="2" borderId="1" applyAlignment="1" pivotButton="0" quotePrefix="0" xfId="0">
      <alignment horizontal="right"/>
    </xf>
    <xf numFmtId="3" fontId="5" fillId="2" borderId="1" applyAlignment="1" pivotButton="0" quotePrefix="0" xfId="0">
      <alignment horizontal="right"/>
    </xf>
    <xf numFmtId="0" fontId="5" fillId="0" borderId="0" pivotButton="0" quotePrefix="0" xfId="0"/>
    <xf numFmtId="164" fontId="6" fillId="0" borderId="0" pivotButton="0" quotePrefix="0" xfId="0"/>
    <xf numFmtId="164" fontId="0" fillId="0" borderId="1" pivotButton="0" quotePrefix="0" xfId="0"/>
    <xf numFmtId="164" fontId="6" fillId="3" borderId="1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164" fontId="5" fillId="2" borderId="1" applyAlignment="1" pivotButton="0" quotePrefix="0" xfId="0">
      <alignment horizontal="right"/>
    </xf>
    <xf numFmtId="164" fontId="9" fillId="0" borderId="1" pivotButton="0" quotePrefix="0" xfId="0"/>
    <xf numFmtId="165" fontId="0" fillId="0" borderId="1" pivotButton="0" quotePrefix="0" xfId="0"/>
    <xf numFmtId="0" fontId="5" fillId="3" borderId="1" pivotButton="0" quotePrefix="0" xfId="0"/>
    <xf numFmtId="3" fontId="0" fillId="3" borderId="1" pivotButton="0" quotePrefix="0" xfId="0"/>
    <xf numFmtId="164" fontId="5" fillId="3" borderId="1" pivotButton="0" quotePrefix="0" xfId="0"/>
    <xf numFmtId="3" fontId="10" fillId="0" borderId="1" pivotButton="0" quotePrefix="0" xfId="0"/>
    <xf numFmtId="166" fontId="10" fillId="0" borderId="1" pivotButton="0" quotePrefix="0" xfId="0"/>
    <xf numFmtId="164" fontId="10" fillId="0" borderId="1" pivotButton="0" quotePrefix="0" xfId="0"/>
    <xf numFmtId="0" fontId="10" fillId="0" borderId="1" applyAlignment="1" pivotButton="0" quotePrefix="0" xfId="0">
      <alignment horizontal="right"/>
    </xf>
    <xf numFmtId="0" fontId="12" fillId="0" borderId="0" pivotButton="0" quotePrefix="0" xfId="0"/>
    <xf numFmtId="164" fontId="11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22" customWidth="1" min="3" max="3"/>
  </cols>
  <sheetData>
    <row r="1">
      <c r="A1" s="1" t="inlineStr">
        <is>
          <t>Make My Coffee — Cost &amp; Profit Playground</t>
        </is>
      </c>
    </row>
    <row r="2">
      <c r="A2" s="2" t="inlineStr">
        <is>
          <t>Edit the highlighted (yellow) cells. Everything else recalculates automatically.</t>
        </is>
      </c>
    </row>
    <row r="4">
      <c r="A4" s="3" t="inlineStr">
        <is>
          <t>Ingredients &amp; Utilities</t>
        </is>
      </c>
    </row>
    <row r="5">
      <c r="A5" s="4" t="inlineStr">
        <is>
          <t>Coffee beans price</t>
        </is>
      </c>
      <c r="B5" s="5" t="n">
        <v>900</v>
      </c>
      <c r="C5" s="2" t="inlineStr">
        <is>
          <t>PHP per kg</t>
        </is>
      </c>
    </row>
    <row r="6">
      <c r="A6" s="4" t="inlineStr">
        <is>
          <t>Ground coffee per shot</t>
        </is>
      </c>
      <c r="B6" s="6" t="n">
        <v>18</v>
      </c>
      <c r="C6" s="2" t="inlineStr">
        <is>
          <t>grams</t>
        </is>
      </c>
    </row>
    <row r="7">
      <c r="A7" s="4" t="inlineStr">
        <is>
          <t>Shot volume</t>
        </is>
      </c>
      <c r="B7" s="6" t="n">
        <v>36</v>
      </c>
      <c r="C7" s="2" t="inlineStr">
        <is>
          <t>ml (reference only)</t>
        </is>
      </c>
    </row>
    <row r="8">
      <c r="A8" s="4" t="inlineStr">
        <is>
          <t>Electricity rate</t>
        </is>
      </c>
      <c r="B8" s="5" t="n">
        <v>16</v>
      </c>
      <c r="C8" s="2" t="inlineStr">
        <is>
          <t>PHP per kWh</t>
        </is>
      </c>
    </row>
    <row r="9">
      <c r="A9" s="4" t="inlineStr">
        <is>
          <t>Espresso machine power</t>
        </is>
      </c>
      <c r="B9" s="6" t="n">
        <v>3000</v>
      </c>
      <c r="C9" s="2" t="inlineStr">
        <is>
          <t>watts</t>
        </is>
      </c>
    </row>
    <row r="10">
      <c r="A10" s="4" t="inlineStr">
        <is>
          <t>Grinder power</t>
        </is>
      </c>
      <c r="B10" s="6" t="n">
        <v>600</v>
      </c>
      <c r="C10" s="2" t="inlineStr">
        <is>
          <t>watts</t>
        </is>
      </c>
    </row>
    <row r="11">
      <c r="A11" s="4" t="inlineStr">
        <is>
          <t>Machine run-time per shot</t>
        </is>
      </c>
      <c r="B11" s="6" t="n">
        <v>60</v>
      </c>
      <c r="C11" s="2" t="inlineStr">
        <is>
          <t>seconds (assumption)</t>
        </is>
      </c>
    </row>
    <row r="12">
      <c r="A12" s="4" t="inlineStr">
        <is>
          <t>Grinder run-time per shot</t>
        </is>
      </c>
      <c r="B12" s="6" t="n">
        <v>15</v>
      </c>
      <c r="C12" s="2" t="inlineStr">
        <is>
          <t>seconds (assumption)</t>
        </is>
      </c>
    </row>
    <row r="14">
      <c r="A14" s="3" t="inlineStr">
        <is>
          <t>Labor</t>
        </is>
      </c>
    </row>
    <row r="15">
      <c r="A15" s="4" t="inlineStr">
        <is>
          <t>Labor cost per day</t>
        </is>
      </c>
      <c r="B15" s="5" t="n">
        <v>300</v>
      </c>
      <c r="C15" s="2" t="inlineStr">
        <is>
          <t>PHP per day</t>
        </is>
      </c>
    </row>
    <row r="16">
      <c r="A16" s="4" t="inlineStr">
        <is>
          <t>Shots produced per day</t>
        </is>
      </c>
      <c r="B16" s="6" t="n">
        <v>210</v>
      </c>
      <c r="C16" s="2" t="inlineStr">
        <is>
          <t>throughput (assumption)</t>
        </is>
      </c>
    </row>
    <row r="18">
      <c r="A18" s="3" t="inlineStr">
        <is>
          <t>Packaging (per bottle, by size)</t>
        </is>
      </c>
    </row>
    <row r="19">
      <c r="A19" s="4" t="inlineStr">
        <is>
          <t>Bottle 120 mL</t>
        </is>
      </c>
      <c r="B19" s="5" t="n">
        <v>20</v>
      </c>
      <c r="C19" s="2" t="inlineStr">
        <is>
          <t>PHP — Starter</t>
        </is>
      </c>
    </row>
    <row r="20">
      <c r="A20" s="4" t="inlineStr">
        <is>
          <t>Bottle 250 mL</t>
        </is>
      </c>
      <c r="B20" s="5" t="n">
        <v>12</v>
      </c>
      <c r="C20" s="2" t="inlineStr">
        <is>
          <t>PHP — Classic</t>
        </is>
      </c>
    </row>
    <row r="21">
      <c r="A21" s="4" t="inlineStr">
        <is>
          <t>Bottle 300 mL</t>
        </is>
      </c>
      <c r="B21" s="5" t="n">
        <v>13.5</v>
      </c>
      <c r="C21" s="2" t="inlineStr">
        <is>
          <t>PHP — Reserve</t>
        </is>
      </c>
    </row>
    <row r="22">
      <c r="A22" s="4" t="inlineStr">
        <is>
          <t>Plastics, deco &amp; printouts</t>
        </is>
      </c>
      <c r="B22" s="5" t="n">
        <v>15</v>
      </c>
      <c r="C22" s="2" t="inlineStr">
        <is>
          <t>PHP per unit</t>
        </is>
      </c>
    </row>
    <row r="24">
      <c r="A24" s="3" t="inlineStr">
        <is>
          <t>Delivery &amp; Shipping</t>
        </is>
      </c>
    </row>
    <row r="25">
      <c r="A25" s="4" t="inlineStr">
        <is>
          <t>USD -&gt; PHP exchange rate</t>
        </is>
      </c>
      <c r="B25" s="5" t="n">
        <v>57</v>
      </c>
      <c r="C25" s="2" t="inlineStr">
        <is>
          <t>PHP per USD</t>
        </is>
      </c>
    </row>
    <row r="26">
      <c r="A26" s="4" t="inlineStr">
        <is>
          <t>Free-shipping threshold</t>
        </is>
      </c>
      <c r="B26" s="5" t="n">
        <v>30</v>
      </c>
      <c r="C26" s="2" t="inlineStr">
        <is>
          <t>USD (min spend)</t>
        </is>
      </c>
    </row>
    <row r="27">
      <c r="A27" s="4" t="inlineStr">
        <is>
          <t>Customer shipping fee</t>
        </is>
      </c>
      <c r="B27" s="5" t="n">
        <v>4.99</v>
      </c>
      <c r="C27" s="2" t="inlineStr">
        <is>
          <t>USD — charged if below threshold</t>
        </is>
      </c>
    </row>
    <row r="28">
      <c r="A28" s="4" t="inlineStr">
        <is>
          <t>Courier cost per order</t>
        </is>
      </c>
      <c r="B28" s="5" t="n">
        <v>100</v>
      </c>
      <c r="C28" s="2" t="inlineStr">
        <is>
          <t>PHP — what WE pay to deliver (assumption)</t>
        </is>
      </c>
    </row>
    <row r="29">
      <c r="A29" s="4" t="inlineStr">
        <is>
          <t>Avg bottles per order</t>
        </is>
      </c>
      <c r="B29" s="6" t="n">
        <v>4</v>
      </c>
      <c r="C29" s="2" t="inlineStr">
        <is>
          <t>assumption</t>
        </is>
      </c>
    </row>
    <row r="30">
      <c r="A30" s="7" t="inlineStr">
        <is>
          <t>Free-ship threshold (PHP)</t>
        </is>
      </c>
      <c r="B30" s="8">
        <f>B26*B25</f>
        <v/>
      </c>
    </row>
    <row r="31">
      <c r="A31" s="7" t="inlineStr">
        <is>
          <t>Shipping fee (PHP)</t>
        </is>
      </c>
      <c r="B31" s="8">
        <f>B27*B25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9" customWidth="1" min="3" max="3"/>
    <col width="11" customWidth="1" min="4" max="4"/>
    <col width="11" customWidth="1" min="5" max="5"/>
    <col width="11" customWidth="1" min="6" max="6"/>
    <col width="12" customWidth="1" min="7" max="7"/>
    <col width="11" customWidth="1" min="8" max="8"/>
    <col width="13" customWidth="1" min="9" max="9"/>
    <col width="12" customWidth="1" min="10" max="10"/>
    <col width="13" customWidth="1" min="11" max="11"/>
    <col width="11" customWidth="1" min="12" max="12"/>
    <col width="11" customWidth="1" min="13" max="13"/>
  </cols>
  <sheetData>
    <row r="1">
      <c r="A1" s="1" t="inlineStr">
        <is>
          <t>Cost per Shot</t>
        </is>
      </c>
    </row>
    <row r="3">
      <c r="A3" s="4" t="inlineStr">
        <is>
          <t>Beans per shot</t>
        </is>
      </c>
      <c r="B3" s="9">
        <f>Inputs!B5/1000*Inputs!B6</f>
        <v/>
      </c>
    </row>
    <row r="4">
      <c r="A4" s="4" t="inlineStr">
        <is>
          <t>Electricity per shot</t>
        </is>
      </c>
      <c r="B4" s="9">
        <f>(Inputs!B9*Inputs!B11+Inputs!B10*Inputs!B12)/1000/3600*Inputs!B8</f>
        <v/>
      </c>
    </row>
    <row r="5">
      <c r="A5" s="4" t="inlineStr">
        <is>
          <t>Labor per shot</t>
        </is>
      </c>
      <c r="B5" s="9">
        <f>Inputs!B15/Inputs!B16</f>
        <v/>
      </c>
    </row>
    <row r="6">
      <c r="A6" s="7" t="inlineStr">
        <is>
          <t>TOTAL cost per shot</t>
        </is>
      </c>
      <c r="B6" s="10">
        <f>SUM(B3:B5)</f>
        <v/>
      </c>
    </row>
    <row r="9">
      <c r="A9" s="11" t="inlineStr">
        <is>
          <t>Product Profitability</t>
        </is>
      </c>
    </row>
    <row r="11">
      <c r="A11" s="12" t="inlineStr">
        <is>
          <t>Product</t>
        </is>
      </c>
      <c r="B11" s="12" t="inlineStr">
        <is>
          <t>Shots</t>
        </is>
      </c>
      <c r="C11" s="12" t="inlineStr">
        <is>
          <t>Bottle</t>
        </is>
      </c>
      <c r="D11" s="12" t="inlineStr">
        <is>
          <t>Deco</t>
        </is>
      </c>
      <c r="E11" s="12" t="inlineStr">
        <is>
          <t>Beans</t>
        </is>
      </c>
      <c r="F11" s="12" t="inlineStr">
        <is>
          <t>Electricity</t>
        </is>
      </c>
      <c r="G11" s="12" t="inlineStr">
        <is>
          <t>Labor</t>
        </is>
      </c>
      <c r="H11" s="12" t="inlineStr">
        <is>
          <t>Total Cost</t>
        </is>
      </c>
      <c r="I11" s="12" t="inlineStr">
        <is>
          <t>Sell Price</t>
        </is>
      </c>
      <c r="J11" s="12" t="inlineStr">
        <is>
          <t>Profit</t>
        </is>
      </c>
      <c r="K11" s="12" t="inlineStr">
        <is>
          <t>Margin %</t>
        </is>
      </c>
      <c r="L11" s="12" t="inlineStr">
        <is>
          <t>Markup %</t>
        </is>
      </c>
    </row>
    <row r="12">
      <c r="A12" s="7" t="inlineStr">
        <is>
          <t>Aconchego Starter</t>
        </is>
      </c>
      <c r="B12" s="6" t="n">
        <v>4</v>
      </c>
      <c r="C12" s="9">
        <f>Inputs!B19</f>
        <v/>
      </c>
      <c r="D12" s="9">
        <f>Inputs!$B$22</f>
        <v/>
      </c>
      <c r="E12" s="9">
        <f>B12*$B$3</f>
        <v/>
      </c>
      <c r="F12" s="9">
        <f>B12*$B$4</f>
        <v/>
      </c>
      <c r="G12" s="9">
        <f>B12*$B$5</f>
        <v/>
      </c>
      <c r="H12" s="9">
        <f>C12+D12+E12+F12+G12</f>
        <v/>
      </c>
      <c r="I12" s="13" t="n">
        <v>299</v>
      </c>
      <c r="J12" s="14">
        <f>I12-H12</f>
        <v/>
      </c>
      <c r="K12" s="15">
        <f>IF(I12=0,0,J12/I12)</f>
        <v/>
      </c>
      <c r="L12" s="15">
        <f>IF(H12=0,0,J12/H12)</f>
        <v/>
      </c>
    </row>
    <row r="13">
      <c r="A13" s="7" t="inlineStr">
        <is>
          <t>Aconchego Classic</t>
        </is>
      </c>
      <c r="B13" s="6" t="n">
        <v>7</v>
      </c>
      <c r="C13" s="9">
        <f>Inputs!B20</f>
        <v/>
      </c>
      <c r="D13" s="9">
        <f>Inputs!$B$22</f>
        <v/>
      </c>
      <c r="E13" s="9">
        <f>B13*$B$3</f>
        <v/>
      </c>
      <c r="F13" s="9">
        <f>B13*$B$4</f>
        <v/>
      </c>
      <c r="G13" s="9">
        <f>B13*$B$5</f>
        <v/>
      </c>
      <c r="H13" s="9">
        <f>C13+D13+E13+F13+G13</f>
        <v/>
      </c>
      <c r="I13" s="13" t="n">
        <v>449</v>
      </c>
      <c r="J13" s="14">
        <f>I13-H13</f>
        <v/>
      </c>
      <c r="K13" s="15">
        <f>IF(I13=0,0,J13/I13)</f>
        <v/>
      </c>
      <c r="L13" s="15">
        <f>IF(H13=0,0,J13/H13)</f>
        <v/>
      </c>
    </row>
    <row r="14">
      <c r="A14" s="7" t="inlineStr">
        <is>
          <t>Aconchego Reserve</t>
        </is>
      </c>
      <c r="B14" s="6" t="n">
        <v>10</v>
      </c>
      <c r="C14" s="9">
        <f>Inputs!B21</f>
        <v/>
      </c>
      <c r="D14" s="9">
        <f>Inputs!$B$22</f>
        <v/>
      </c>
      <c r="E14" s="9">
        <f>B14*$B$3</f>
        <v/>
      </c>
      <c r="F14" s="9">
        <f>B14*$B$4</f>
        <v/>
      </c>
      <c r="G14" s="9">
        <f>B14*$B$5</f>
        <v/>
      </c>
      <c r="H14" s="9">
        <f>C14+D14+E14+F14+G14</f>
        <v/>
      </c>
      <c r="I14" s="13" t="n">
        <v>599</v>
      </c>
      <c r="J14" s="14">
        <f>I14-H14</f>
        <v/>
      </c>
      <c r="K14" s="15">
        <f>IF(I14=0,0,J14/I14)</f>
        <v/>
      </c>
      <c r="L14" s="15">
        <f>IF(H14=0,0,J14/H14)</f>
        <v/>
      </c>
    </row>
    <row r="15">
      <c r="A15" s="2" t="inlineStr">
        <is>
          <t>Gross Profit above is per-bottle unit economics; delivery is per-order (see Monthly).</t>
        </is>
      </c>
    </row>
    <row r="17">
      <c r="A17" s="11" t="inlineStr">
        <is>
          <t>Monthly Projection</t>
        </is>
      </c>
    </row>
    <row r="18">
      <c r="A18" s="12" t="inlineStr">
        <is>
          <t>Product</t>
        </is>
      </c>
      <c r="B18" s="12" t="inlineStr">
        <is>
          <t>Units / month</t>
        </is>
      </c>
      <c r="C18" s="12" t="inlineStr">
        <is>
          <t>Revenue</t>
        </is>
      </c>
      <c r="D18" s="12" t="inlineStr">
        <is>
          <t>COGS</t>
        </is>
      </c>
      <c r="E18" s="12" t="inlineStr">
        <is>
          <t>Gross Profit</t>
        </is>
      </c>
    </row>
    <row r="19">
      <c r="A19" s="4" t="inlineStr">
        <is>
          <t>Aconchego Starter</t>
        </is>
      </c>
      <c r="B19" s="6" t="n">
        <v>100</v>
      </c>
      <c r="C19" s="9">
        <f>B19*I12</f>
        <v/>
      </c>
      <c r="D19" s="9">
        <f>B19*H12</f>
        <v/>
      </c>
      <c r="E19" s="9">
        <f>B19*J12</f>
        <v/>
      </c>
    </row>
    <row r="20">
      <c r="A20" s="4" t="inlineStr">
        <is>
          <t>Aconchego Classic</t>
        </is>
      </c>
      <c r="B20" s="6" t="n">
        <v>150</v>
      </c>
      <c r="C20" s="9">
        <f>B20*I13</f>
        <v/>
      </c>
      <c r="D20" s="9">
        <f>B20*H13</f>
        <v/>
      </c>
      <c r="E20" s="9">
        <f>B20*J13</f>
        <v/>
      </c>
    </row>
    <row r="21">
      <c r="A21" s="4" t="inlineStr">
        <is>
          <t>Aconchego Reserve</t>
        </is>
      </c>
      <c r="B21" s="6" t="n">
        <v>80</v>
      </c>
      <c r="C21" s="9">
        <f>B21*I14</f>
        <v/>
      </c>
      <c r="D21" s="9">
        <f>B21*H14</f>
        <v/>
      </c>
      <c r="E21" s="9">
        <f>B21*J14</f>
        <v/>
      </c>
    </row>
    <row r="22">
      <c r="A22" s="16" t="inlineStr">
        <is>
          <t>Subtotal</t>
        </is>
      </c>
      <c r="B22" s="17">
        <f>SUM(B19:B21)</f>
        <v/>
      </c>
      <c r="C22" s="18">
        <f>SUM(C19:C21)</f>
        <v/>
      </c>
      <c r="D22" s="18">
        <f>SUM(D19:D21)</f>
        <v/>
      </c>
      <c r="E22" s="18">
        <f>SUM(E19:E21)</f>
        <v/>
      </c>
    </row>
    <row r="23">
      <c r="A23" s="3" t="inlineStr">
        <is>
          <t>Delivery (per order — we absorb it)</t>
        </is>
      </c>
    </row>
    <row r="24">
      <c r="A24" s="4" t="inlineStr">
        <is>
          <t>Total units / month</t>
        </is>
      </c>
      <c r="B24" s="19">
        <f>B22</f>
        <v/>
      </c>
    </row>
    <row r="25">
      <c r="A25" s="4" t="inlineStr">
        <is>
          <t>Orders / month</t>
        </is>
      </c>
      <c r="B25" s="20">
        <f>B22/Inputs!$B$29</f>
        <v/>
      </c>
    </row>
    <row r="26">
      <c r="A26" s="4" t="inlineStr">
        <is>
          <t>Avg order value</t>
        </is>
      </c>
      <c r="B26" s="21">
        <f>IF(B25=0,0,C22/B25)</f>
        <v/>
      </c>
    </row>
    <row r="27">
      <c r="A27" s="4" t="inlineStr">
        <is>
          <t>Free shipping? (&gt;=thresh)</t>
        </is>
      </c>
      <c r="B27" s="22">
        <f>IF(C26&gt;=Inputs!$B$30,"YES — we pay courier","NO — customer charged")</f>
        <v/>
      </c>
    </row>
    <row r="28">
      <c r="A28" s="4" t="inlineStr">
        <is>
          <t>Shipping collected</t>
        </is>
      </c>
      <c r="B28" s="21">
        <f>IF(C26&gt;=Inputs!$B$30,0,B25*Inputs!$B$31)</f>
        <v/>
      </c>
    </row>
    <row r="29">
      <c r="A29" s="4" t="inlineStr">
        <is>
          <t>Delivery cost (courier)</t>
        </is>
      </c>
      <c r="B29" s="21">
        <f>B25*Inputs!$B$28</f>
        <v/>
      </c>
    </row>
    <row r="30">
      <c r="A30" s="23" t="inlineStr">
        <is>
          <t>NET PROFIT / month</t>
        </is>
      </c>
      <c r="B30" s="24">
        <f>E22-B29+B28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2026-08-22T14:01:12Z</dcterms:created>
  <dcterms:modified xmlns:dcterms="http://purl.org/dc/terms/" xmlns:xsi="http://www.w3.org/2001/XMLSchema-instance" xsi:type="dcterms:W3CDTF">2026-08-22T14:01:12Z</dcterms:modified>
</cp:coreProperties>
</file>